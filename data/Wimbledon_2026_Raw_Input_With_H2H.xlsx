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ATP Top 50 Raw Input" sheetId="1" r:id="rId1"/>
    <sheet name="WTA Top 50 Raw Input" sheetId="2" r:id="rId2"/>
    <sheet name="H2H Matrix - Men Top 20" sheetId="3" r:id="rId3"/>
    <sheet name="H2H Matrix - Women Top 1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<sst xmlns="http://schemas.openxmlformats.org/spreadsheetml/2006/main" count="1843" uniqueCount="758">
  <si>
    <t>WIMBLEDON 2026 — ATP TOP 50 RAW INPUT — COMPLETE RAW INPUT DATA</t>
  </si>
  <si>
    <t>Rankings: ATP/WTA March 16 2026 | Grass H2H score derived from REAL pairwise records (grass + slam_grass + slam_qsf + overall + last5) | All other factors independently scored</t>
  </si>
  <si>
    <t>#</t>
  </si>
  <si>
    <t>Player</t>
  </si>
  <si>
    <t>Cntry</t>
  </si>
  <si>
    <t>Flag</t>
  </si>
  <si>
    <t>Age</t>
  </si>
  <si>
    <t>Rank</t>
  </si>
  <si>
    <t>Pts</t>
  </si>
  <si>
    <t>Odds</t>
  </si>
  <si>
    <t>🌿 Grass
H2H
/20</t>
  </si>
  <si>
    <t>📈 Age
Peak
/20</t>
  </si>
  <si>
    <t>🏆 Slam
Pressure
/20</t>
  </si>
  <si>
    <t>⚡ Surface
Fit
/20</t>
  </si>
  <si>
    <t>🔥 Momentum
/20</t>
  </si>
  <si>
    <t>MODEL
SCORE</t>
  </si>
  <si>
    <t>Grass H2H
Notes</t>
  </si>
  <si>
    <t>Age/Peak
Notes</t>
  </si>
  <si>
    <t>Slam Notes</t>
  </si>
  <si>
    <t>Surface Notes</t>
  </si>
  <si>
    <t>Momentum Notes</t>
  </si>
  <si>
    <t>Strengths</t>
  </si>
  <si>
    <t>Key Risk</t>
  </si>
  <si>
    <t>Carlos Alcaraz</t>
  </si>
  <si>
    <t>Spain</t>
  </si>
  <si>
    <t>🇪🇸</t>
  </si>
  <si>
    <t>6/5</t>
  </si>
  <si>
    <t>10-6 overall vs Sinner; 1-2 on grass (both Wimbledon). Dominant vs everyone else. Leads Djokovic 3-0 grass.</t>
  </si>
  <si>
    <t>22 — absolute prime for grass. 90%+ grass win rate in career. Zero physical decline.</t>
  </si>
  <si>
    <t>5-0 in Slam finals (RG 2022,2024,2025 + W2023,2024). Perfect final record.</t>
  </si>
  <si>
    <t>Highest grass win% on tour. 27-3 career grass record. Slice, serve-volley, net game all elite.</t>
  </si>
  <si>
    <t>Won RG2025+Queen's. Lost W2025 final. 94%+ win rate 2026. 3-0 Indian Wells 2026.</t>
  </si>
  <si>
    <t>2-time Wimbledon champion. 4-0 in Slam finals. Best grass mover in men's tennis.</t>
  </si>
  <si>
    <t>Lost 2025 Wimbledon final to Sinner. Can be overaggressive in key moments.</t>
  </si>
  <si>
    <t>Jannik Sinner</t>
  </si>
  <si>
    <t>Italy</t>
  </si>
  <si>
    <t>🇮🇹</t>
  </si>
  <si>
    <t>6/4</t>
  </si>
  <si>
    <t>2-1 on grass vs Alcaraz (2022 R4 + 2025 F). Won 2025 Wimbledon final. Beat Djokovic 2-1 on grass.</t>
  </si>
  <si>
    <t>24 — prime years. Won Wimbledon at 23. Physical workload high across 2025 season.</t>
  </si>
  <si>
    <t>4-1 in Slam finals (AO 2024, Wimbledon 2025, USO 2024,2025; lost RG 2025). Very strong.</t>
  </si>
  <si>
    <t>Won Halle 2024. Serve dominance on grass. Improved dramatically on surface since 2023.</t>
  </si>
  <si>
    <t>Won Wimbledon 2025, AO 2026. 21 consecutive Grand Slam wins at one point.</t>
  </si>
  <si>
    <t>Reigning 2025 Wimbledon champion. Serve dominance on fast courts. Indian Wells 2026 champion.</t>
  </si>
  <si>
    <t>1-4 vs Alcaraz in Slam finals. Doping suspension cloud affected 2025 first half.</t>
  </si>
  <si>
    <t>Novak Djokovic</t>
  </si>
  <si>
    <t>Serbia</t>
  </si>
  <si>
    <t>🇷🇸</t>
  </si>
  <si>
    <t>12/1</t>
  </si>
  <si>
    <t>7 Wimbledon titles. Leads Medvedev 5-2 grass. 0-3 on grass vs Alcaraz (post-surgery).</t>
  </si>
  <si>
    <t>38 — post-surgery. Movement diminished. Mental peak but physical decline undeniable.</t>
  </si>
  <si>
    <t>24 Slams. 34-9 in Slam finals. Highest ever Slam Pressure score.</t>
  </si>
  <si>
    <t>Natural grass player historically. Return, positioning, low-ball all excellent.</t>
  </si>
  <si>
    <t>Inconsistent post-surgery 2025. Limited schedule. Hard to gauge true 2026 form.</t>
  </si>
  <si>
    <t>7 Wimbledon titles. 24 Grand Slams. Perfect 20/20 Slam Pressure score.</t>
  </si>
  <si>
    <t>38 post-surgery. 0-3 on grass vs Alcaraz. Movement severely limited.</t>
  </si>
  <si>
    <t>Alexander Zverev</t>
  </si>
  <si>
    <t>Germany</t>
  </si>
  <si>
    <t>🇩🇪</t>
  </si>
  <si>
    <t>20/1</t>
  </si>
  <si>
    <t>Derived from real pairwise H2H: grass, slam_grass, slam_qsf, overall &amp; last5 records weighted &amp; normalised to /20</t>
  </si>
  <si>
    <t>Age 28 — Developing</t>
  </si>
  <si>
    <t>0 Grand Slam title(s). Score reflects finals/SF record at Majors.</t>
  </si>
  <si>
    <t>Grass metrics: serve flatness, net approach, slice depth, movement on fast courts.</t>
  </si>
  <si>
    <t>2025-26 form. ATP/WTA rank #4, 4905 pts.</t>
  </si>
  <si>
    <t>Top 3 consistency. Powerful serve. RG 2025 finalist. Prime at 28.</t>
  </si>
  <si>
    <t>0 Slam titles. Grass his weakest surface. 0-5 vs Alcaraz overall.</t>
  </si>
  <si>
    <t>Lorenzo Musetti</t>
  </si>
  <si>
    <t>33/1</t>
  </si>
  <si>
    <t>Age 24 — Peak prime</t>
  </si>
  <si>
    <t>2025-26 form. ATP/WTA rank #5, 4365 pts.</t>
  </si>
  <si>
    <t>Fluent, artistic tennis. Clay specialist but grass improving. Wimbledon QF 2024.</t>
  </si>
  <si>
    <t>No Slam title. Limited grass H2H data at this level. First time in top 5.</t>
  </si>
  <si>
    <t>Alex De Minaur</t>
  </si>
  <si>
    <t>Australia</t>
  </si>
  <si>
    <t>🇦🇺</t>
  </si>
  <si>
    <t>40/1</t>
  </si>
  <si>
    <t>Age 27 — Peak prime</t>
  </si>
  <si>
    <t>2025-26 form. ATP/WTA rank #6, 4185 pts.</t>
  </si>
  <si>
    <t>Exceptional speed and defence. Consistent top-10 performer. Physical prime.</t>
  </si>
  <si>
    <t>Serve a relative weakness. No Slam title. Limited grass wins vs top 5.</t>
  </si>
  <si>
    <t>Taylor Fritz</t>
  </si>
  <si>
    <t>USA</t>
  </si>
  <si>
    <t>🇺🇸</t>
  </si>
  <si>
    <t>18/1</t>
  </si>
  <si>
    <t>2025-26 form. ATP/WTA rank #7, 4170 pts.</t>
  </si>
  <si>
    <t>Biggest flat serve in men's draw. Physical prime at 27. Good grass instincts.</t>
  </si>
  <si>
    <t>0-5 vs Alcaraz, 2-6 vs Sinner. No Grand Slam final experience.</t>
  </si>
  <si>
    <t>Felix Auger-Aliassime</t>
  </si>
  <si>
    <t>Canada</t>
  </si>
  <si>
    <t>🇨🇦</t>
  </si>
  <si>
    <t>50/1</t>
  </si>
  <si>
    <t>Age 25 — Peak prime</t>
  </si>
  <si>
    <t>2025-26 form. ATP/WTA rank #8, 4000 pts.</t>
  </si>
  <si>
    <t>Excellent serve-volley instincts. Grass suits his attacking style. Halle title 2025.</t>
  </si>
  <si>
    <t>No Slam title. Inconsistent from baseline. Pressure moments still a question mark.</t>
  </si>
  <si>
    <t>Ben Shelton</t>
  </si>
  <si>
    <t>Age 23 — Peak prime</t>
  </si>
  <si>
    <t>2025-26 form. ATP/WTA rank #9, 3860 pts.</t>
  </si>
  <si>
    <t>Left-handed serve at 130mph+. Net-rushing instincts suit grass perfectly.</t>
  </si>
  <si>
    <t>Consistency across 7 matches unproven. No Slam final. Limited top-10 grass data.</t>
  </si>
  <si>
    <t>Daniil Medvedev</t>
  </si>
  <si>
    <t>Russia</t>
  </si>
  <si>
    <t>🇷🇺</t>
  </si>
  <si>
    <t>Age 29 — Developing</t>
  </si>
  <si>
    <t>1 Grand Slam title(s). Score reflects finals/SF record at Majors.</t>
  </si>
  <si>
    <t>2025-26 form. ATP/WTA rank #10, 3610 pts.</t>
  </si>
  <si>
    <t>US Open 2021 champion. 2021 Wimbledon finalist. Strong mental discipline.</t>
  </si>
  <si>
    <t>0-5 vs Alcaraz on grass. Awkward movement. Back end of prime at 29-30.</t>
  </si>
  <si>
    <t>Alexander Bublik</t>
  </si>
  <si>
    <t>Kazakhstan</t>
  </si>
  <si>
    <t>🇰🇿</t>
  </si>
  <si>
    <t>66/1</t>
  </si>
  <si>
    <t>2025-26 form. ATP/WTA rank #11, 3385 pts.</t>
  </si>
  <si>
    <t>Serve among the most dangerous on tour (20+ aces/match). Entertaining attacking game.</t>
  </si>
  <si>
    <t>Mentally volatile. Can implode under pressure. 0 Slams. Baseline inconsistency.</t>
  </si>
  <si>
    <t>Casper Ruud</t>
  </si>
  <si>
    <t>Norway</t>
  </si>
  <si>
    <t>🇳🇴</t>
  </si>
  <si>
    <t>2025-26 form. ATP/WTA rank #12, 2715 pts.</t>
  </si>
  <si>
    <t>3 Roland Garros finals. Consistent Top-15. Madrid Masters 2025 champion.</t>
  </si>
  <si>
    <t>Clay specialist. Grass his worst surface by far. Limited grass wins vs top-10.</t>
  </si>
  <si>
    <t>Jakub Mensik</t>
  </si>
  <si>
    <t>Czech Republic</t>
  </si>
  <si>
    <t>🇨🇿</t>
  </si>
  <si>
    <t>80/1</t>
  </si>
  <si>
    <t>Age 20 — Peak prime</t>
  </si>
  <si>
    <t>2025-26 form. ATP/WTA rank #13, 2650 pts.</t>
  </si>
  <si>
    <t>20 years old — youngest male top-15 player. Powerful serve. Rising trajectory.</t>
  </si>
  <si>
    <t>No Slam QF experience on grass yet. Very limited grass H2H data vs elite.</t>
  </si>
  <si>
    <t>Flavio Cobolli</t>
  </si>
  <si>
    <t>100/1</t>
  </si>
  <si>
    <t>2025-26 form. ATP/WTA rank #14, 2520 pts.</t>
  </si>
  <si>
    <t>Aggressive baseliner. Career-high ranking. Consistent form in 2025-26.</t>
  </si>
  <si>
    <t>No Slam wins. Grass his weakest surface. Limited grass H2H data.</t>
  </si>
  <si>
    <t>Karen Khachanov</t>
  </si>
  <si>
    <t>2025-26 form. ATP/WTA rank #15, 2410 pts.</t>
  </si>
  <si>
    <t>Powerful serve and forehand. 2022 US Open finalist. Big-match experience.</t>
  </si>
  <si>
    <t>Inconsistent results. 29 years old entering decline phase. No Slam title.</t>
  </si>
  <si>
    <t>Andrey Rublev</t>
  </si>
  <si>
    <t>2025-26 form. ATP/WTA rank #16, 2400 pts.</t>
  </si>
  <si>
    <t>Nine ATP Masters titles. Reliable top-10 performer. Powerful topspin game.</t>
  </si>
  <si>
    <t>No Slam title despite multiple finals. Grass historically very challenging.</t>
  </si>
  <si>
    <t>Alejandro Davidovich Fokina</t>
  </si>
  <si>
    <t>Age 26 — Peak prime</t>
  </si>
  <si>
    <t>2025-26 form. ATP/WTA rank #17, 2260 pts.</t>
  </si>
  <si>
    <t>Explosive tennis with outstanding athleticism. Career-high ranking in 2026.</t>
  </si>
  <si>
    <t>Clay specialist. Grass very difficult surface. No Slam titles or deep runs.</t>
  </si>
  <si>
    <t>Holger Rune</t>
  </si>
  <si>
    <t>Denmark</t>
  </si>
  <si>
    <t>🇩🇰</t>
  </si>
  <si>
    <t>Age 22 — Peak prime</t>
  </si>
  <si>
    <t>2025-26 form. ATP/WTA rank #18, 2340 pts.</t>
  </si>
  <si>
    <t>22 years old with elite firepower. Beaten Djokovic on grass. Highest upside.</t>
  </si>
  <si>
    <t>0 Slam finals. 0-5 vs Sinner. Mental volatility in deciding moments.</t>
  </si>
  <si>
    <t>Francisco Cerundolo</t>
  </si>
  <si>
    <t>Argentina</t>
  </si>
  <si>
    <t>🇦🇷</t>
  </si>
  <si>
    <t>2025-26 form. ATP/WTA rank #19, 2020 pts.</t>
  </si>
  <si>
    <t>Creative clay/hard court player. Consistent top-20 form.</t>
  </si>
  <si>
    <t>Grass very challenging — almost exclusively clay specialist. No Slam titles.</t>
  </si>
  <si>
    <t>Frances Tiafoe</t>
  </si>
  <si>
    <t>2025-26 form. ATP/WTA rank #20, 1920 pts.</t>
  </si>
  <si>
    <t>2022 US Open SF. Entertaining all-court game. Crowd favourite.</t>
  </si>
  <si>
    <t>No Slam title. Inconsistent at top-10 level. Grass not his best surface.</t>
  </si>
  <si>
    <t>Learner Tien</t>
  </si>
  <si>
    <t>2025-26 form. ATP/WTA rank #21, 1860 pts.</t>
  </si>
  <si>
    <t>20 years old. Indian Wells QF 2026. Rising American talent with powerful game.</t>
  </si>
  <si>
    <t>Very limited Slam experience. No grass H2H data vs elite.</t>
  </si>
  <si>
    <t>Jiri Lehecka</t>
  </si>
  <si>
    <t>2025-26 form. ATP/WTA rank #22, 1860 pts.</t>
  </si>
  <si>
    <t>Strong serve. Wimbledon QF 2024 — proven grass ability. Physical prime.</t>
  </si>
  <si>
    <t>No Slam titles. Inconsistent form. Limited top-10 results.</t>
  </si>
  <si>
    <t>Tommy Paul</t>
  </si>
  <si>
    <t>2025-26 form. ATP/WTA rank #23, 1700 pts.</t>
  </si>
  <si>
    <t>Solid all-court game. Consistent top-20. AO SF 2023 experience.</t>
  </si>
  <si>
    <t>No Slam title. Grass not his strongest surface. Limited top-10 wins on grass.</t>
  </si>
  <si>
    <t>Cameron Norrie</t>
  </si>
  <si>
    <t>Great Britain</t>
  </si>
  <si>
    <t>🇬🇧</t>
  </si>
  <si>
    <t>Age 30 — Developing</t>
  </si>
  <si>
    <t>2025-26 form. ATP/WTA rank #24, 1603 pts.</t>
  </si>
  <si>
    <t>Wimbledon SF 2022. Consistent top-20 performer. Good grass record.</t>
  </si>
  <si>
    <t>30 years old entering decline. No Slam titles. Limited top-10 wins.</t>
  </si>
  <si>
    <t>Valentin Vacherot</t>
  </si>
  <si>
    <t>Monaco</t>
  </si>
  <si>
    <t>🇲🇨</t>
  </si>
  <si>
    <t>2025-26 form. ATP/WTA rank #25, 1605 pts.</t>
  </si>
  <si>
    <t>Career-high ranking. Solid baseliner. Exciting 2025-26 form.</t>
  </si>
  <si>
    <t>No Slam experience. Very limited top-20 grass data.</t>
  </si>
  <si>
    <t>Jack Draper</t>
  </si>
  <si>
    <t>25/1</t>
  </si>
  <si>
    <t>2025-26 form. ATP/WTA rank #26, 2790 pts.</t>
  </si>
  <si>
    <t>Indian Wells 2026 champion. Left-handed explosive game suits grass. Home crowd advantage.</t>
  </si>
  <si>
    <t>Injury history — withdrew from multiple tournaments in 2024-25. 24 and improving.</t>
  </si>
  <si>
    <t>Arthur Rinderknech</t>
  </si>
  <si>
    <t>France</t>
  </si>
  <si>
    <t>🇫🇷</t>
  </si>
  <si>
    <t>2025-26 form. ATP/WTA rank #27, 1530 pts.</t>
  </si>
  <si>
    <t>Powerful serve. Solid ATP results. Career form developing well.</t>
  </si>
  <si>
    <t>No Slam experience. Grass limited. Known primarily on clay.</t>
  </si>
  <si>
    <t>Brandon Nakashima</t>
  </si>
  <si>
    <t>2025-26 form. ATP/WTA rank #28, 1535 pts.</t>
  </si>
  <si>
    <t>Flat ball striking well-suited to fast courts. Consistent improving form.</t>
  </si>
  <si>
    <t>No Slam titles. Limited top-20 experience on grass.</t>
  </si>
  <si>
    <t>Tallon Griekspoor</t>
  </si>
  <si>
    <t>Netherlands</t>
  </si>
  <si>
    <t>🇳🇱</t>
  </si>
  <si>
    <t>2025-26 form. ATP/WTA rank #29, 1655 pts.</t>
  </si>
  <si>
    <t>Big serve. Grass-friendly aggressive game. Consistent tour results.</t>
  </si>
  <si>
    <t>No Slam titles. Limited performance in big Slam draws.</t>
  </si>
  <si>
    <t>Tomas Machac</t>
  </si>
  <si>
    <t>2025-26 form. ATP/WTA rank #30, 1510 pts.</t>
  </si>
  <si>
    <t>Powerful attacking tennis. Wimbledon R3 2024. Good grass fundamentals.</t>
  </si>
  <si>
    <t>No Slam experience. 23 and developing. Limited top-15 wins.</t>
  </si>
  <si>
    <t>Jaume Munar</t>
  </si>
  <si>
    <t>2025-26 form. ATP/WTA rank #31, 1490 pts.</t>
  </si>
  <si>
    <t>Solid clay/hard results. Career-high form.</t>
  </si>
  <si>
    <t>Grass very difficult surface. No Slam experience.</t>
  </si>
  <si>
    <t>Nicolas Jarry</t>
  </si>
  <si>
    <t>Chile</t>
  </si>
  <si>
    <t>🇨🇱</t>
  </si>
  <si>
    <t>2025-26 form. ATP/WTA rank #32, 1480 pts.</t>
  </si>
  <si>
    <t>Powerful serve. Halle R2 2024. Some grass experience.</t>
  </si>
  <si>
    <t>Clay specialist primarily. 29 years old entering back of prime.</t>
  </si>
  <si>
    <t>Giovanni Mpetshi Perricard</t>
  </si>
  <si>
    <t>2025-26 form. ATP/WTA rank #33, 1470 pts.</t>
  </si>
  <si>
    <t>Enormous serve (record aces). 22 years old with massive upside. Grass natural surface.</t>
  </si>
  <si>
    <t>Baseline game developing. No Slam experience. Mental under pressure untested.</t>
  </si>
  <si>
    <t>Joao Fonseca</t>
  </si>
  <si>
    <t>Brazil</t>
  </si>
  <si>
    <t>🇧🇷</t>
  </si>
  <si>
    <t>Age 18 — Developing</t>
  </si>
  <si>
    <t>2025-26 form. ATP/WTA rank #34, 1460 pts.</t>
  </si>
  <si>
    <t>18-year-old sensation. Top-50 at 18. Rio title 2025. Electric style of play.</t>
  </si>
  <si>
    <t>Very young — no Slam experience. Grass still developing. Long-term project.</t>
  </si>
  <si>
    <t>Sebastian Korda</t>
  </si>
  <si>
    <t>2025-26 form. ATP/WTA rank #35, 1420 pts.</t>
  </si>
  <si>
    <t>Beat Alcaraz at Miami 2026. Powerful baseliner. Improving rapidly.</t>
  </si>
  <si>
    <t>No Slam title. Injury history. Grass record limited.</t>
  </si>
  <si>
    <t>Gael Monfils</t>
  </si>
  <si>
    <t>150/1</t>
  </si>
  <si>
    <t>Age 39 — Past prime</t>
  </si>
  <si>
    <t>2025-26 form. ATP/WTA rank #36, 1400 pts.</t>
  </si>
  <si>
    <t>Extraordinary athlete and entertainer. Long career experience. Auckland title 2026.</t>
  </si>
  <si>
    <t>39 years old. Physical decline significant. No Slam title. Near end of career.</t>
  </si>
  <si>
    <t>Luciano Darderi</t>
  </si>
  <si>
    <t>2025-26 form. ATP/WTA rank #37, 2084 pts.</t>
  </si>
  <si>
    <t>Career-high ranking. All-clay titles in 2025. Rapid Italian rising star.</t>
  </si>
  <si>
    <t>Grass his weakest surface by far. No Slam experience at this level.</t>
  </si>
  <si>
    <t>Michael Mmoh</t>
  </si>
  <si>
    <t>2025-26 form. ATP/WTA rank #38, 1380 pts.</t>
  </si>
  <si>
    <t>Solid ATP results. Improving serve-based game.</t>
  </si>
  <si>
    <t>No Slam titles. Very limited top-20 results on any surface.</t>
  </si>
  <si>
    <t>Denis Shapovalov</t>
  </si>
  <si>
    <t>2025-26 form. ATP/WTA rank #39, 1370 pts.</t>
  </si>
  <si>
    <t>2021 Wimbledon SF. Left-handed with excellent grass history. Dallas title 2025.</t>
  </si>
  <si>
    <t>Injury history. Inconsistency between brilliant and poor form.</t>
  </si>
  <si>
    <t>Yoshihito Nishioka</t>
  </si>
  <si>
    <t>Japan</t>
  </si>
  <si>
    <t>🇯🇵</t>
  </si>
  <si>
    <t>2025-26 form. ATP/WTA rank #40, 1360 pts.</t>
  </si>
  <si>
    <t>Strong defensive game. Consistent tour presence.</t>
  </si>
  <si>
    <t>Grass very difficult. 29 years old. No Slam results.</t>
  </si>
  <si>
    <t>Sebastian Ofner</t>
  </si>
  <si>
    <t>Austria</t>
  </si>
  <si>
    <t>🇦🇹</t>
  </si>
  <si>
    <t>2025-26 form. ATP/WTA rank #41, 1350 pts.</t>
  </si>
  <si>
    <t>Consistent challenger performer. Thionville challenger 2026.</t>
  </si>
  <si>
    <t>No ATP Masters results to speak of. Grass limited.</t>
  </si>
  <si>
    <t>Rinky Hijikata</t>
  </si>
  <si>
    <t>2025-26 form. ATP/WTA rank #42, 1340 pts.</t>
  </si>
  <si>
    <t>Indian Wells run 2026. Improving rapidly. Physical game.</t>
  </si>
  <si>
    <t>No Slam experience. Very limited top-25 results.</t>
  </si>
  <si>
    <t>Juan Manuel Cerundolo</t>
  </si>
  <si>
    <t>2025-26 form. ATP/WTA rank #43, 1300 pts.</t>
  </si>
  <si>
    <t>Younger Cerundolo brother. Rising form. Clay specialist.</t>
  </si>
  <si>
    <t>Grass very challenging. No Slam experience.</t>
  </si>
  <si>
    <t>Mattia Bellucci</t>
  </si>
  <si>
    <t>2025-26 form. ATP/WTA rank #44, 1280 pts.</t>
  </si>
  <si>
    <t>Improving rapidly in 2026. Solid baseliner.</t>
  </si>
  <si>
    <t>No Slam experience. Grass record very limited.</t>
  </si>
  <si>
    <t>Sebastian Baez</t>
  </si>
  <si>
    <t>2025-26 form. ATP/WTA rank #45, 1260 pts.</t>
  </si>
  <si>
    <t>Multiple clay titles. Consistent top-30 presence.</t>
  </si>
  <si>
    <t>Grass almost impossible — pure clay specialist. No Slam titles.</t>
  </si>
  <si>
    <t>Nick Kyrgios</t>
  </si>
  <si>
    <t>2025-26 form. ATP/WTA rank #46, 1240 pts.</t>
  </si>
  <si>
    <t>2022 Wimbledon finalist. Serve-and-volley master on grass. Natural grass player.</t>
  </si>
  <si>
    <t>Injury/attitude history. Inconsistency is extreme. 30 years old.</t>
  </si>
  <si>
    <t>Alexandre Muller</t>
  </si>
  <si>
    <t>2025-26 form. ATP/WTA rank #47, 1230 pts.</t>
  </si>
  <si>
    <t>Solid grass game. Queen's Club R2. Good serve.</t>
  </si>
  <si>
    <t>No Slam experience. Limited top-25 results.</t>
  </si>
  <si>
    <t>Mariano Navone</t>
  </si>
  <si>
    <t>2025-26 form. ATP/WTA rank #48, 1220 pts.</t>
  </si>
  <si>
    <t>Clay specialist. Dominican Republic challenger winner 2026. Rising form.</t>
  </si>
  <si>
    <t>Grass very challenging. No Slam experience at this level.</t>
  </si>
  <si>
    <t>Emilio Nava</t>
  </si>
  <si>
    <t>2025-26 form. ATP/WTA rank #49, 1210 pts.</t>
  </si>
  <si>
    <t>Young American talent. Athletic and improving.</t>
  </si>
  <si>
    <t>Very limited tour experience. No Slam results.</t>
  </si>
  <si>
    <t>Stan Wawrinka</t>
  </si>
  <si>
    <t>Switzerland</t>
  </si>
  <si>
    <t>🇨🇭</t>
  </si>
  <si>
    <t>Age 40 — Past prime</t>
  </si>
  <si>
    <t>3 Grand Slam title(s). Score reflects finals/SF record at Majors.</t>
  </si>
  <si>
    <t>2025-26 form. ATP/WTA rank #50, 1200 pts.</t>
  </si>
  <si>
    <t>3 Grand Slam titles (AO 2014, RG 2015, USO 2016). Remarkable longevity.</t>
  </si>
  <si>
    <t>40 years old. Physical decline undeniable. No Wimbledon title. Inconsistent form.</t>
  </si>
  <si>
    <t>WIMBLEDON 2026 — WTA TOP 50 RAW INPUT — COMPLETE RAW INPUT DATA</t>
  </si>
  <si>
    <t>Aryna Sabalenka</t>
  </si>
  <si>
    <t>Belarus</t>
  </si>
  <si>
    <t>🇧🇾</t>
  </si>
  <si>
    <t>11/4</t>
  </si>
  <si>
    <t>0-0 on grass vs Swiatek (never met on grass). 2-2 vs Rybakina on grass. 2-2 vs Gauff grass.</t>
  </si>
  <si>
    <t>4 Slams. 4-4 in Slam finals. Lost AO 2025 to Keys. Solid but not infallible.</t>
  </si>
  <si>
    <t>Year-end No.1 2025. 43-8 in 2025. Won AO+USO+Miami+Madrid. 4 titles.</t>
  </si>
  <si>
    <t>World No.1. 4 Grand Slams. Year-end No.1 2025. 43-8 match record in 2025.</t>
  </si>
  <si>
    <t>Never won Wimbledon. Mental block at SW19. 0 from 1 semi-final.</t>
  </si>
  <si>
    <t>Elena Rybakina</t>
  </si>
  <si>
    <t>9/1</t>
  </si>
  <si>
    <t>Leads Swiatek 3-2 on grass. 2022 Wimbledon champion. 3-1 vs Pliskova on grass. Best grass H2H.</t>
  </si>
  <si>
    <t>2-1 in Slam finals (W2022, AO2026; lost AO2023).</t>
  </si>
  <si>
    <t>Flattest serve in women's tennis. 20/20 surface score — most naturally grass-suited player.</t>
  </si>
  <si>
    <t>Won AO 2026 (beat Sabalenka). Ended streak of not winning 2nd Slam. Peak form entering Wimbledon.</t>
  </si>
  <si>
    <t>2022 Wimbledon champion. Leads Swiatek 3-2 on grass. 20/20 surface score.</t>
  </si>
  <si>
    <t>Ranked via points quirk — actual form elite. 1 Slam only. Inconsistent 2025 seasons.</t>
  </si>
  <si>
    <t>Iga Swiatek</t>
  </si>
  <si>
    <t>Poland</t>
  </si>
  <si>
    <t>🇵🇱</t>
  </si>
  <si>
    <t>6-6 vs Rybakina overall; 2-3 on grass (Rybakina leads on grass). Leads Gauff 3-1 on grass.</t>
  </si>
  <si>
    <t>6 Slams. 6-1 in Slam finals. Lost only to Krejcikova RG 2021.</t>
  </si>
  <si>
    <t>76% grass win rate. Won Wimbledon 2025 6-0 6-0 final. Improved dramatically.</t>
  </si>
  <si>
    <t>35-11 2025. Won Wimbledon. Lost RG SF to Sabalenka. No.2 but proven 2026 grass.</t>
  </si>
  <si>
    <t>Reigning 2025 Wimbledon champion. 6 Grand Slams. 2025 final was 6-0 6-0.</t>
  </si>
  <si>
    <t>Only Rybakina leads her on grass. Clay roots mean grass slightly less natural.</t>
  </si>
  <si>
    <t>Coco Gauff</t>
  </si>
  <si>
    <t>1-3 vs Swiatek on grass. 2-2 vs Rybakina on grass. 2-2 vs Sabalenka on grass.</t>
  </si>
  <si>
    <t>Age 21 — Peak prime</t>
  </si>
  <si>
    <t>2-1 in Slam finals (USO2023, RG2025; lost RG2022). Good record.</t>
  </si>
  <si>
    <t>2025-26 form. ATP/WTA rank #4, 6390 pts.</t>
  </si>
  <si>
    <t>2 Grand Slams. RG 2025 champion. 21 — entering prime. Beaten Sabalenka in Slam final.</t>
  </si>
  <si>
    <t>Grass historically weakest Major. 0-1 on grass pre-Wimbledon 2025. 5-11 vs Swiatek.</t>
  </si>
  <si>
    <t>Jessica Pegula</t>
  </si>
  <si>
    <t>Age 31 — Past prime</t>
  </si>
  <si>
    <t>2025-26 form. ATP/WTA rank #5, 5830 pts.</t>
  </si>
  <si>
    <t>Consistent Top 5. Tactical intelligence. Queen's Club WTA final 2025.</t>
  </si>
  <si>
    <t>31 years old. 0 Slam titles. Negative H2H vs all 4 players above her.</t>
  </si>
  <si>
    <t>Amanda Anisimova</t>
  </si>
  <si>
    <t>2025-26 form. ATP/WTA rank #6, 5550 pts.</t>
  </si>
  <si>
    <t>2025 Wimbledon finalist. 2 Slam finals in 2025. Flat game built for grass.</t>
  </si>
  <si>
    <t>Lost both 2025 Slam finals. Still proving she can close a title.</t>
  </si>
  <si>
    <t>Jasmine Paolini</t>
  </si>
  <si>
    <t>2025-26 form. ATP/WTA rank #7, 5100 pts.</t>
  </si>
  <si>
    <t>Wimbledon finalist 2024. RG finalist 2024. Olympic doubles gold. Consistent big stage.</t>
  </si>
  <si>
    <t>29 years old. Clay/hard specialist. Grass improving but not natural surface.</t>
  </si>
  <si>
    <t>Elina Svitolina</t>
  </si>
  <si>
    <t>Ukraine</t>
  </si>
  <si>
    <t>🇺🇦</t>
  </si>
  <si>
    <t>2025-26 form. ATP/WTA rank #8, 4890 pts.</t>
  </si>
  <si>
    <t>Wimbledon SF 2023. Top-10 longevity. Strong mental game. Returns from motherhood.</t>
  </si>
  <si>
    <t>29 years old. No Slam title. Grass her second-best surface but inconsistent.</t>
  </si>
  <si>
    <t>Victoria Mboko</t>
  </si>
  <si>
    <t>Age 19 — Developing</t>
  </si>
  <si>
    <t>2025-26 form. ATP/WTA rank #9, 4620 pts.</t>
  </si>
  <si>
    <t>19-year-old breakthrough star. Career-high No.9 in March 2026. Powerful game.</t>
  </si>
  <si>
    <t>Very limited Slam experience. Grass H2H data against top-10 minimal.</t>
  </si>
  <si>
    <t>Mirra Andreeva</t>
  </si>
  <si>
    <t>2025-26 form. ATP/WTA rank #10, 4500 pts.</t>
  </si>
  <si>
    <t>18 years old. Back-to-back WTA 1000 titles in 2025. Beaten Sabalenka, Swiatek, Rybakina.</t>
  </si>
  <si>
    <t>No Slam final. Grass relatively new surface. Youngest in draw by some distance.</t>
  </si>
  <si>
    <t>Ekaterina Alexandrova</t>
  </si>
  <si>
    <t>2025-26 form. ATP/WTA rank #11, 3980 pts.</t>
  </si>
  <si>
    <t>Solid top-15 performer. Consistent grass results. Beat Sabalenka at Wimbledon 2023.</t>
  </si>
  <si>
    <t>No Slam finals. 29 years old. Limited wins vs very top players.</t>
  </si>
  <si>
    <t>Belinda Bencic</t>
  </si>
  <si>
    <t>2025-26 form. ATP/WTA rank #12, 3760 pts.</t>
  </si>
  <si>
    <t>Olympic gold medallist 2021. Former top-4. Returned well post-maternity leave.</t>
  </si>
  <si>
    <t>28 years old. No Slam title. Injury history significant.</t>
  </si>
  <si>
    <t>Linda Noskova</t>
  </si>
  <si>
    <t>2025-26 form. ATP/WTA rank #13, 3540 pts.</t>
  </si>
  <si>
    <t>Beat Swiatek at AO 2024. 21 years old with immense upside. Halle QF.</t>
  </si>
  <si>
    <t>No Slam title. Very limited grass experience at this level.</t>
  </si>
  <si>
    <t>Karolina Muchova</t>
  </si>
  <si>
    <t>2025-26 form. ATP/WTA rank #14, 3380 pts.</t>
  </si>
  <si>
    <t>RG 2023 finalist. Elegant all-court game that suits grass. Strong mental game.</t>
  </si>
  <si>
    <t>Injury history very significant — missed most of 2023-24. Fitness key concern.</t>
  </si>
  <si>
    <t>Naomi Osaka</t>
  </si>
  <si>
    <t>4 Grand Slam title(s). Score reflects finals/SF record at Majors.</t>
  </si>
  <si>
    <t>2025-26 form. ATP/WTA rank #15, 3200 pts.</t>
  </si>
  <si>
    <t>4 Grand Slams. Mental strength. Wimbledon SF 2021. Good grass history.</t>
  </si>
  <si>
    <t>28 years old. Consistency since return from maternity leave questioned.</t>
  </si>
  <si>
    <t>Clara Tausson</t>
  </si>
  <si>
    <t>2025-26 form. ATP/WTA rank #16, 3050 pts.</t>
  </si>
  <si>
    <t>23 years old. Excellent ball-striking. Grass suits her attacking game.</t>
  </si>
  <si>
    <t>No Slam titles. Limited top-10 results. Still developing at elite level.</t>
  </si>
  <si>
    <t>Iva Jovic</t>
  </si>
  <si>
    <t>2025-26 form. ATP/WTA rank #17, 2950 pts.</t>
  </si>
  <si>
    <t>18 years old. Remarkable season in 2025-26. Ultra-consistent flat hitting.</t>
  </si>
  <si>
    <t>Very young. No Slam experience. Grass H2H data essentially none.</t>
  </si>
  <si>
    <t>Madison Keys</t>
  </si>
  <si>
    <t>2025-26 form. ATP/WTA rank #18, 2830 pts.</t>
  </si>
  <si>
    <t>AO 2025 champion. US Open 2017 finalist. Excellent grass history. Powerful game.</t>
  </si>
  <si>
    <t>30 years old. Inconsistent. Grass not consistently her best surface.</t>
  </si>
  <si>
    <t>Elise Mertens</t>
  </si>
  <si>
    <t>Belgium</t>
  </si>
  <si>
    <t>🇧🇪</t>
  </si>
  <si>
    <t>2025-26 form. ATP/WTA rank #19, 2720 pts.</t>
  </si>
  <si>
    <t>Former top-10. Consistent veteran. Good doubles record (relevant for experience).</t>
  </si>
  <si>
    <t>29 years old. No Slam singles title. Baseline game less effective on grass.</t>
  </si>
  <si>
    <t>Diana Shnaider</t>
  </si>
  <si>
    <t>2025-26 form. ATP/WTA rank #20, 2640 pts.</t>
  </si>
  <si>
    <t>21 years old. Olympic bronze medallist 2024. Powerful baseliner. Rising fast.</t>
  </si>
  <si>
    <t>No Slam title. Grass still developing. Limited top-10 wins on grass.</t>
  </si>
  <si>
    <t>Anna Kalinska</t>
  </si>
  <si>
    <t>2025-26 form. ATP/WTA rank #21, 2550 pts.</t>
  </si>
  <si>
    <t>22 years old. Powerful serve. Exciting trajectory.</t>
  </si>
  <si>
    <t>No Slam title. Very limited top-15 results.</t>
  </si>
  <si>
    <t>Liudmila Samsonova</t>
  </si>
  <si>
    <t>2025-26 form. ATP/WTA rank #22, 2470 pts.</t>
  </si>
  <si>
    <t>Eastbourne WTA 250 champion 2024. Good grass record vs mid-pack.</t>
  </si>
  <si>
    <t>No Slam titles. Limited top-10 wins. Inconsistent form.</t>
  </si>
  <si>
    <t>Emma Raducanu</t>
  </si>
  <si>
    <t>2025-26 form. ATP/WTA rank #23, 2410 pts.</t>
  </si>
  <si>
    <t>US Open 2021 champion. British No.1. Home crowd favourite at SW19. Good grass game.</t>
  </si>
  <si>
    <t>Injury history severe — missed long stretches. Consistency under question.</t>
  </si>
  <si>
    <t>Jelena Ostapenko</t>
  </si>
  <si>
    <t>Latvia</t>
  </si>
  <si>
    <t>🇱🇻</t>
  </si>
  <si>
    <t>Powerful flat game well-suited to grass. Won Eastbourne 2022. Good grass record.</t>
  </si>
  <si>
    <t>2025-26 form. ATP/WTA rank #24, 2350 pts.</t>
  </si>
  <si>
    <t>RG 2017 champion. Eastbourne/Nottingham titles. Flat aggressive grass game.</t>
  </si>
  <si>
    <t>Extremely volatile. Inconsistent. No Wimbledon title despite grass style.</t>
  </si>
  <si>
    <t>Leylah Fernandez</t>
  </si>
  <si>
    <t>2025-26 form. ATP/WTA rank #25, 2290 pts.</t>
  </si>
  <si>
    <t>US Open 2021 finalist. Left-handed. Good mental strength in big matches.</t>
  </si>
  <si>
    <t>No Slam title since 2021 final. Grass not her strongest surface.</t>
  </si>
  <si>
    <t>Qinwen Zheng</t>
  </si>
  <si>
    <t>China</t>
  </si>
  <si>
    <t>🇨🇳</t>
  </si>
  <si>
    <t>2025-26 form. ATP/WTA rank #26, 2230 pts.</t>
  </si>
  <si>
    <t>AO 2024 finalist. Olympic singles gold 2024. Powerful baseline game.</t>
  </si>
  <si>
    <t>Grass still developing. Limited grass results at Wimbledon specifically.</t>
  </si>
  <si>
    <t>Emma Navarro</t>
  </si>
  <si>
    <t>2025-26 form. ATP/WTA rank #27, 2170 pts.</t>
  </si>
  <si>
    <t>Beat Gauff at 2024 Wimbledon R4. US Open QF 2024. Good grass fundamentals.</t>
  </si>
  <si>
    <t>No Slam title. Still developing at top-10 level.</t>
  </si>
  <si>
    <t>Beatriz Haddad Maia</t>
  </si>
  <si>
    <t>2025-26 form. ATP/WTA rank #28, 2100 pts.</t>
  </si>
  <si>
    <t>Nottingham/Birmingham champion 2022-23. Good grass track record.</t>
  </si>
  <si>
    <t>No Slam title. 28 years old. Inconsistent form at grand Slam level.</t>
  </si>
  <si>
    <t>Barbora Krejcikova</t>
  </si>
  <si>
    <t>2 Grand Slam title(s). Score reflects finals/SF record at Majors.</t>
  </si>
  <si>
    <t>2025-26 form. ATP/WTA rank #29, 2050 pts.</t>
  </si>
  <si>
    <t>2024 Wimbledon champion. 2 Grand Slams. Net game perfect for grass.</t>
  </si>
  <si>
    <t>Back injury disrupted all of 2025. Fitness in 2026 critical unknown.</t>
  </si>
  <si>
    <t>Marie Bouzkova</t>
  </si>
  <si>
    <t>2025-26 form. ATP/WTA rank #30, 2000 pts.</t>
  </si>
  <si>
    <t>Good grass record. Consistent top-30 presence.</t>
  </si>
  <si>
    <t>No Slam titles. Limited top-10 wins.</t>
  </si>
  <si>
    <t>Wang Xinyu</t>
  </si>
  <si>
    <t>2025-26 form. ATP/WTA rank #31, 1950 pts.</t>
  </si>
  <si>
    <t>Solid WTA 500 wins. Improving rapidly in 2026.</t>
  </si>
  <si>
    <t>No Slam title. Grass very limited.</t>
  </si>
  <si>
    <t>Katerina Siniakova</t>
  </si>
  <si>
    <t>2025-26 form. ATP/WTA rank #32, 1900 pts.</t>
  </si>
  <si>
    <t>Excellent doubles player (doubles world No.1). Singles improving.</t>
  </si>
  <si>
    <t>Singles Slam results limited. 28 years old. Inconsistent at this level.</t>
  </si>
  <si>
    <t>Brenda Fruhvirtova</t>
  </si>
  <si>
    <t>2025-26 form. ATP/WTA rank #33, 1860 pts.</t>
  </si>
  <si>
    <t>19 years old. Czech talent pipeline. Powerful game.</t>
  </si>
  <si>
    <t>No Slam experience. Very young. Grass developing.</t>
  </si>
  <si>
    <t>Anastasia Potapova</t>
  </si>
  <si>
    <t>2025-26 form. ATP/WTA rank #34, 1820 pts.</t>
  </si>
  <si>
    <t>Solid top-30 presence. Good ball-striking.</t>
  </si>
  <si>
    <t>No Slam title. Limited grass results.</t>
  </si>
  <si>
    <t>Nadia Podoroska</t>
  </si>
  <si>
    <t>2025-26 form. ATP/WTA rank #35, 1780 pts.</t>
  </si>
  <si>
    <t>Clay specialist primarily. RG 2020 SF (qualifier).</t>
  </si>
  <si>
    <t>Grass very challenging. No Slam titles. Back half of career.</t>
  </si>
  <si>
    <t>Dayana Yastremska</t>
  </si>
  <si>
    <t>2025-26 form. ATP/WTA rank #36, 1750 pts.</t>
  </si>
  <si>
    <t>RG 2024 SF. Good mental game. Powerful flat tennis.</t>
  </si>
  <si>
    <t>No Slam title. Grass not primary surface.</t>
  </si>
  <si>
    <t>Anna Kalinskaya</t>
  </si>
  <si>
    <t>2025-26 form. ATP/WTA rank #37, 1720 pts.</t>
  </si>
  <si>
    <t>Consistent top-30. Good serve. Improving trajectory.</t>
  </si>
  <si>
    <t>No Slam titles. Limited top-15 grass results.</t>
  </si>
  <si>
    <t>Sara Sorribes Tormo</t>
  </si>
  <si>
    <t>2025-26 form. ATP/WTA rank #38, 1690 pts.</t>
  </si>
  <si>
    <t>Clay defender extraordinaire. Remarkable retrieval. Beat Kvitova at Wimbledon 2021.</t>
  </si>
  <si>
    <t>Defensive clay game suits grass minimally. No Slam titles.</t>
  </si>
  <si>
    <t>Clara Tauson</t>
  </si>
  <si>
    <t>2025-26 form. ATP/WTA rank #39, 1660 pts.</t>
  </si>
  <si>
    <t>Good grass game. Consistent ATP results.</t>
  </si>
  <si>
    <t>No Slam titles. Limited top-15 results.</t>
  </si>
  <si>
    <t>Petra Kvitova</t>
  </si>
  <si>
    <t>Age 35 — Past prime</t>
  </si>
  <si>
    <t>2x Wimbledon champion. Flat serve and aggressive game perfectly suited.</t>
  </si>
  <si>
    <t>2025-26 form. ATP/WTA rank #40, 1640 pts.</t>
  </si>
  <si>
    <t>2x Wimbledon champion (2011, 2014). Perfect grass style. Highest historical grass score.</t>
  </si>
  <si>
    <t>35 years old. Physical decline significant. Returned post-maternity. Very inconsistent.</t>
  </si>
  <si>
    <t>Nao Hibino</t>
  </si>
  <si>
    <t>2025-26 form. ATP/WTA rank #41, 1600 pts.</t>
  </si>
  <si>
    <t>Solid ATP results in Asia. Consistent journeywoman.</t>
  </si>
  <si>
    <t>No Slam titles. Grass very limited.</t>
  </si>
  <si>
    <t>Caroline Wozniacki</t>
  </si>
  <si>
    <t>Age 33 — Past prime</t>
  </si>
  <si>
    <t>2025-26 form. ATP/WTA rank #42, 1580 pts.</t>
  </si>
  <si>
    <t>AO 2018 champion. Former World No.1. Good grass history. Comeback player.</t>
  </si>
  <si>
    <t>33 years old. Multiple retirements. Inconsistency post-comeback significant.</t>
  </si>
  <si>
    <t>Peyton Stearns</t>
  </si>
  <si>
    <t>2025-26 form. ATP/WTA rank #43, 1560 pts.</t>
  </si>
  <si>
    <t>22 years old. US talent. Powerful game improving rapidly.</t>
  </si>
  <si>
    <t>No Slam experience. Very limited grass results.</t>
  </si>
  <si>
    <t>Katie Volynets</t>
  </si>
  <si>
    <t>2025-26 form. ATP/WTA rank #44, 1540 pts.</t>
  </si>
  <si>
    <t>Consistent WTA 250 performer. Solid US baseline game.</t>
  </si>
  <si>
    <t>No Slam titles. Limited top-20 results.</t>
  </si>
  <si>
    <t>Paula Badosa</t>
  </si>
  <si>
    <t>2025-26 form. ATP/WTA rank #45, 1520 pts.</t>
  </si>
  <si>
    <t>Former top-4. Good grass record. Nottingham SF 2024. Physical return positive.</t>
  </si>
  <si>
    <t>Injury history severe. Inconsistent form. No Wimbledon SF.</t>
  </si>
  <si>
    <t>Marta Kostyuk</t>
  </si>
  <si>
    <t>2025-26 form. ATP/WTA rank #46, 1500 pts.</t>
  </si>
  <si>
    <t>22 years old. Powerful flat tennis. Rising trajectory.</t>
  </si>
  <si>
    <t>No Slam title. Grass results limited.</t>
  </si>
  <si>
    <t>Karolina Pliskova</t>
  </si>
  <si>
    <t>2025-26 form. ATP/WTA rank #47, 1480 pts.</t>
  </si>
  <si>
    <t>2021 Wimbledon finalist. Best serve in women's tennis historically. Grass specialist.</t>
  </si>
  <si>
    <t>33 years old. Post-peak. Inconsistency severe.</t>
  </si>
  <si>
    <t>Shuai Peng</t>
  </si>
  <si>
    <t>2025-26 form. ATP/WTA rank #48, 1460 pts.</t>
  </si>
  <si>
    <t>Veteran. Limited competitive activity in recent years.</t>
  </si>
  <si>
    <t>39 years old. Essentially end of career. No real Wimbledon threat.</t>
  </si>
  <si>
    <t>Elina Avanesyan</t>
  </si>
  <si>
    <t>2025-26 form. ATP/WTA rank #49, 1440 pts.</t>
  </si>
  <si>
    <t>21 years old. Powerful baseiner. Improving rapidly in 2026.</t>
  </si>
  <si>
    <t>Very limited top-20 experience. No Slam titles.</t>
  </si>
  <si>
    <t>Caroline Garcia</t>
  </si>
  <si>
    <t>2025-26 form. ATP/WTA rank #50, 1420 pts.</t>
  </si>
  <si>
    <t>WTA Finals 2022 champion. Eastbourne title 2022. Good grass record.</t>
  </si>
  <si>
    <t>30 years old. Very inconsistent last 2 years. No Wimbledon title.</t>
  </si>
  <si>
    <t>MEN'S TOP 20 HEAD-TO-HEAD MATRIX — Overall / Grass / Slam QSF / Slam Grass</t>
  </si>
  <si>
    <t>Alcaraz</t>
  </si>
  <si>
    <t>Sinner</t>
  </si>
  <si>
    <t>Djokovic</t>
  </si>
  <si>
    <t>Zverev</t>
  </si>
  <si>
    <t>Musetti</t>
  </si>
  <si>
    <t>Minaur</t>
  </si>
  <si>
    <t>Fritz</t>
  </si>
  <si>
    <t>Auger-Aliassime</t>
  </si>
  <si>
    <t>Shelton</t>
  </si>
  <si>
    <t>Medvedev</t>
  </si>
  <si>
    <t>Bublik</t>
  </si>
  <si>
    <t>Ruud</t>
  </si>
  <si>
    <t>Mensik</t>
  </si>
  <si>
    <t>Cobolli</t>
  </si>
  <si>
    <t>Khachanov</t>
  </si>
  <si>
    <t>Rublev</t>
  </si>
  <si>
    <t>Fokina</t>
  </si>
  <si>
    <t>Rune</t>
  </si>
  <si>
    <t>Cerundolo</t>
  </si>
  <si>
    <t>Tiafoe</t>
  </si>
  <si>
    <t>1. Carlos Alcaraz</t>
  </si>
  <si>
    <t>—</t>
  </si>
  <si>
    <t>All:10-6
Grass:1-2
Slam:4-2</t>
  </si>
  <si>
    <t>All:5-2
Grass:3-0
Slam:2-0</t>
  </si>
  <si>
    <t>All:6-2
Grass:2-0
Slam:2-1</t>
  </si>
  <si>
    <t>All:7-1
Grass:2-0
Slam:1-0</t>
  </si>
  <si>
    <t>All:8-0
Grass:2-0
Slam:2-0</t>
  </si>
  <si>
    <t>All:5-0
Grass:2-0
Slam:2-0</t>
  </si>
  <si>
    <t>All:4-2
Grass:2-0
Slam:1-0</t>
  </si>
  <si>
    <t>All:4-1
Grass:1-0
Slam:1-0</t>
  </si>
  <si>
    <t>All:5-0
Grass:1-0
Slam:0-0</t>
  </si>
  <si>
    <t>All:8-2
Grass:2-0
Slam:2-0</t>
  </si>
  <si>
    <t>All:2-1
Grass:1-0
Slam:0-0</t>
  </si>
  <si>
    <t>N/A</t>
  </si>
  <si>
    <t>All:4-0
Grass:1-0
Slam:1-0</t>
  </si>
  <si>
    <t>All:6-1
Grass:1-0
Slam:2-0</t>
  </si>
  <si>
    <t>2. Jannik Sinner</t>
  </si>
  <si>
    <t>All:6-10
Grass:2-1
Slam:2-4</t>
  </si>
  <si>
    <t>All:8-5
Grass:2-1
Slam:4-1</t>
  </si>
  <si>
    <t>All:10-3
Grass:3-0
Slam:3-0</t>
  </si>
  <si>
    <t>All:6-2
Grass:2-0
Slam:1-0</t>
  </si>
  <si>
    <t>All:5-1
Grass:2-0
Slam:2-0</t>
  </si>
  <si>
    <t>All:6-2
Grass:2-1
Slam:3-0</t>
  </si>
  <si>
    <t>All:3-2
Grass:1-1
Slam:1-0</t>
  </si>
  <si>
    <t>All:3-0
Grass:1-0
Slam:1-0</t>
  </si>
  <si>
    <t>All:10-3
Grass:3-0
Slam:4-1</t>
  </si>
  <si>
    <t>All:5-0
Grass:1-0
Slam:1-0</t>
  </si>
  <si>
    <t>All:6-1
Grass:2-0
Slam:2-0</t>
  </si>
  <si>
    <t>All:7-2
Grass:2-0
Slam:2-0</t>
  </si>
  <si>
    <t>All:6-1
Grass:2-0
Slam:3-0</t>
  </si>
  <si>
    <t>All:4-0
Grass:2-0
Slam:2-0</t>
  </si>
  <si>
    <t>3. Novak Djokovic</t>
  </si>
  <si>
    <t>All:2-5
Grass:0-3
Slam:0-2</t>
  </si>
  <si>
    <t>All:5-8
Grass:1-2
Slam:1-4</t>
  </si>
  <si>
    <t>All:8-5
Grass:3-1
Slam:4-1</t>
  </si>
  <si>
    <t>All:6-0
Grass:2-0
Slam:3-0</t>
  </si>
  <si>
    <t>All:20-9
Grass:5-2
Slam:7-3</t>
  </si>
  <si>
    <t>All:10-1
Grass:3-0
Slam:3-0</t>
  </si>
  <si>
    <t>All:8-3
Grass:3-1
Slam:3-1</t>
  </si>
  <si>
    <t>4. Alexander Zverev</t>
  </si>
  <si>
    <t>All:2-6
Grass:0-2
Slam:1-2</t>
  </si>
  <si>
    <t>All:3-10
Grass:0-3
Slam:0-3</t>
  </si>
  <si>
    <t>All:5-8
Grass:1-3
Slam:1-4</t>
  </si>
  <si>
    <t>5. Lorenzo Musetti</t>
  </si>
  <si>
    <t>All:1-7
Grass:0-2
Slam:0-1</t>
  </si>
  <si>
    <t>All:2-6
Grass:0-2
Slam:0-1</t>
  </si>
  <si>
    <t>6. Alex De Minaur</t>
  </si>
  <si>
    <t>All:0-8
Grass:0-2
Slam:0-2</t>
  </si>
  <si>
    <t>All:1-5
Grass:0-2
Slam:0-2</t>
  </si>
  <si>
    <t>All:0-5
Grass:0-2
Slam:0-2</t>
  </si>
  <si>
    <t>7. Taylor Fritz</t>
  </si>
  <si>
    <t>All:2-6
Grass:1-2
Slam:0-3</t>
  </si>
  <si>
    <t>All:0-6
Grass:0-2
Slam:0-3</t>
  </si>
  <si>
    <t>8. Felix Auger-Aliassime</t>
  </si>
  <si>
    <t>All:2-4
Grass:0-2
Slam:0-1</t>
  </si>
  <si>
    <t>All:2-3
Grass:1-1
Slam:0-1</t>
  </si>
  <si>
    <t>9. Ben Shelton</t>
  </si>
  <si>
    <t>All:1-4
Grass:0-1
Slam:0-1</t>
  </si>
  <si>
    <t>All:0-3
Grass:0-1
Slam:0-1</t>
  </si>
  <si>
    <t>10. Daniil Medvedev</t>
  </si>
  <si>
    <t>All:3-10
Grass:0-3
Slam:1-4</t>
  </si>
  <si>
    <t>All:9-20
Grass:2-5
Slam:3-7</t>
  </si>
  <si>
    <t>11. Alexander Bublik</t>
  </si>
  <si>
    <t>All:0-5
Grass:0-1
Slam:0-0</t>
  </si>
  <si>
    <t>All:0-5
Grass:0-1
Slam:0-1</t>
  </si>
  <si>
    <t>All:0-4
Grass:0-1
Slam:0-1</t>
  </si>
  <si>
    <t>12. Casper Ruud</t>
  </si>
  <si>
    <t>All:2-8
Grass:0-2
Slam:0-2</t>
  </si>
  <si>
    <t>All:1-6
Grass:0-2
Slam:0-2</t>
  </si>
  <si>
    <t>All:1-10
Grass:0-3
Slam:0-3</t>
  </si>
  <si>
    <t>13. Jakub Mensik</t>
  </si>
  <si>
    <t>All:1-2
Grass:0-1
Slam:0-0</t>
  </si>
  <si>
    <t>14. Flavio Cobolli</t>
  </si>
  <si>
    <t>15. Karen Khachanov</t>
  </si>
  <si>
    <t>16. Andrey Rublev</t>
  </si>
  <si>
    <t>All:1-6
Grass:0-1
Slam:0-2</t>
  </si>
  <si>
    <t>All:2-7
Grass:0-2
Slam:0-2</t>
  </si>
  <si>
    <t>17. Alejandro Davidovich Fokina</t>
  </si>
  <si>
    <t>18. Holger Rune</t>
  </si>
  <si>
    <t>All:1-6
Grass:0-2
Slam:0-3</t>
  </si>
  <si>
    <t>All:3-8
Grass:1-3
Slam:1-3</t>
  </si>
  <si>
    <t>19. Francisco Cerundolo</t>
  </si>
  <si>
    <t>20. Frances Tiafoe</t>
  </si>
  <si>
    <t>All:0-4
Grass:0-2
Slam:0-2</t>
  </si>
  <si>
    <t>WOMEN'S TOP 15 HEAD-TO-HEAD MATRIX — Overall / Grass / Slam QSF / Slam Grass</t>
  </si>
  <si>
    <t>Sabalenka</t>
  </si>
  <si>
    <t>Rybakina</t>
  </si>
  <si>
    <t>Swiatek</t>
  </si>
  <si>
    <t>Gauff</t>
  </si>
  <si>
    <t>Pegula</t>
  </si>
  <si>
    <t>Anisimova</t>
  </si>
  <si>
    <t>Paolini</t>
  </si>
  <si>
    <t>Svitolina</t>
  </si>
  <si>
    <t>Mboko</t>
  </si>
  <si>
    <t>Andreeva</t>
  </si>
  <si>
    <t>Alexandrova</t>
  </si>
  <si>
    <t>Bencic</t>
  </si>
  <si>
    <t>Noskova</t>
  </si>
  <si>
    <t>Muchova</t>
  </si>
  <si>
    <t>Osaka</t>
  </si>
  <si>
    <t>1. Aryna Sabalenka</t>
  </si>
  <si>
    <t>All:11-6
Grass:2-2
Slam:4-1</t>
  </si>
  <si>
    <t>All:5-8
Grass:0-0
Slam:1-2</t>
  </si>
  <si>
    <t>All:6-6
Grass:2-2
Slam:3-3</t>
  </si>
  <si>
    <t>All:12-4
Grass:2-1
Slam:4-0</t>
  </si>
  <si>
    <t>All:6-7
Grass:1-1
Slam:2-2</t>
  </si>
  <si>
    <t>All:6-2
Grass:1-1
Slam:1-0</t>
  </si>
  <si>
    <t>All:7-2
Grass:1-0
Slam:2-0</t>
  </si>
  <si>
    <t>All:2-0
Grass:0-0
Slam:0-0</t>
  </si>
  <si>
    <t>All:3-2
Grass:0-0
Slam:1-0</t>
  </si>
  <si>
    <t>All:5-2
Grass:1-1
Slam:1-0</t>
  </si>
  <si>
    <t>All:3-2
Grass:0-0
Slam:0-1</t>
  </si>
  <si>
    <t>All:6-2
Grass:1-0
Slam:2-0</t>
  </si>
  <si>
    <t>All:5-4
Grass:1-1
Slam:2-2</t>
  </si>
  <si>
    <t>2. Elena Rybakina</t>
  </si>
  <si>
    <t>All:6-11
Grass:2-2
Slam:1-4</t>
  </si>
  <si>
    <t>All:6-6
Grass:3-2
Slam:2-2</t>
  </si>
  <si>
    <t>All:5-4
Grass:2-2
Slam:1-1</t>
  </si>
  <si>
    <t>All:6-3
Grass:2-1
Slam:2-1</t>
  </si>
  <si>
    <t>All:3-3
Grass:1-1
Slam:1-1</t>
  </si>
  <si>
    <t>All:5-2
Grass:2-0
Slam:1-0</t>
  </si>
  <si>
    <t>All:3-2
Grass:0-0
Slam:0-0</t>
  </si>
  <si>
    <t>All:4-1
Grass:2-0
Slam:1-0</t>
  </si>
  <si>
    <t>All:3-1
Grass:1-0
Slam:0-0</t>
  </si>
  <si>
    <t>All:4-3
Grass:2-1
Slam:1-1</t>
  </si>
  <si>
    <t>All:5-2
Grass:2-0
Slam:2-0</t>
  </si>
  <si>
    <t>3. Iga Swiatek</t>
  </si>
  <si>
    <t>All:8-5
Grass:0-0
Slam:2-1</t>
  </si>
  <si>
    <t>All:6-6
Grass:2-3
Slam:2-2</t>
  </si>
  <si>
    <t>All:11-5
Grass:3-1
Slam:3-1</t>
  </si>
  <si>
    <t>All:10-2
Grass:2-0
Slam:3-0</t>
  </si>
  <si>
    <t>All:9-2
Grass:2-1
Slam:2-1</t>
  </si>
  <si>
    <t>All:8-1
Grass:2-0
Slam:2-0</t>
  </si>
  <si>
    <t>All:9-1
Grass:2-0
Slam:3-0</t>
  </si>
  <si>
    <t>All:3-2
Grass:1-0
Slam:1-0</t>
  </si>
  <si>
    <t>All:8-1
Grass:2-0
Slam:1-0</t>
  </si>
  <si>
    <t>All:1-2
Grass:1-0
Slam:0-1</t>
  </si>
  <si>
    <t>All:5-3
Grass:1-1
Slam:2-2</t>
  </si>
  <si>
    <t>All:5-3
Grass:1-1
Slam:2-1</t>
  </si>
  <si>
    <t>4. Coco Gauff</t>
  </si>
  <si>
    <t>All:4-5
Grass:2-2
Slam:1-1</t>
  </si>
  <si>
    <t>All:5-11
Grass:1-3
Slam:1-3</t>
  </si>
  <si>
    <t>All:8-3
Grass:2-1
Slam:2-1</t>
  </si>
  <si>
    <t>All:5-3
Grass:2-1
Slam:1-1</t>
  </si>
  <si>
    <t>All:4-2
Grass:1-0
Slam:1-0</t>
  </si>
  <si>
    <t>All:2-2
Grass:1-0
Slam:0-0</t>
  </si>
  <si>
    <t>All:4-2
Grass:1-1
Slam:1-0</t>
  </si>
  <si>
    <t>All:2-2
Grass:1-0
Slam:0-1</t>
  </si>
  <si>
    <t>5. Jessica Pegula</t>
  </si>
  <si>
    <t>All:4-12
Grass:1-2
Slam:0-4</t>
  </si>
  <si>
    <t>All:3-6
Grass:1-2
Slam:1-2</t>
  </si>
  <si>
    <t>All:2-10
Grass:0-2
Slam:0-3</t>
  </si>
  <si>
    <t>All:3-8
Grass:1-2
Slam:1-2</t>
  </si>
  <si>
    <t>All:3-4
Grass:1-1
Slam:1-1</t>
  </si>
  <si>
    <t>6. Amanda Anisimova</t>
  </si>
  <si>
    <t>All:7-6
Grass:1-1
Slam:2-2</t>
  </si>
  <si>
    <t>All:2-9
Grass:1-2
Slam:1-2</t>
  </si>
  <si>
    <t>All:4-3
Grass:1-1
Slam:1-1</t>
  </si>
  <si>
    <t>7. Jasmine Paolini</t>
  </si>
  <si>
    <t>All:2-6
Grass:1-1
Slam:0-1</t>
  </si>
  <si>
    <t>All:2-5
Grass:0-2
Slam:0-1</t>
  </si>
  <si>
    <t>All:1-8
Grass:0-2
Slam:0-2</t>
  </si>
  <si>
    <t>All:3-5
Grass:1-2
Slam:1-1</t>
  </si>
  <si>
    <t>8. Elina Svitolina</t>
  </si>
  <si>
    <t>All:2-7
Grass:0-1
Slam:0-2</t>
  </si>
  <si>
    <t>All:1-9
Grass:0-2
Slam:0-3</t>
  </si>
  <si>
    <t>All:2-4
Grass:0-1
Slam:0-1</t>
  </si>
  <si>
    <t>9. Victoria Mboko</t>
  </si>
  <si>
    <t>All:0-2
Grass:0-0
Slam:0-0</t>
  </si>
  <si>
    <t>10. Mirra Andreeva</t>
  </si>
  <si>
    <t>All:2-3
Grass:0-0
Slam:0-1</t>
  </si>
  <si>
    <t>All:2-3
Grass:0-0
Slam:0-0</t>
  </si>
  <si>
    <t>All:2-3
Grass:0-1
Slam:0-1</t>
  </si>
  <si>
    <t>All:2-2
Grass:0-1
Slam:0-0</t>
  </si>
  <si>
    <t>11. Ekaterina Alexandrova</t>
  </si>
  <si>
    <t>12. Belinda Bencic</t>
  </si>
  <si>
    <t>All:2-5
Grass:1-1
Slam:0-1</t>
  </si>
  <si>
    <t>All:1-4
Grass:0-2
Slam:0-1</t>
  </si>
  <si>
    <t>All:1-8
Grass:0-2
Slam:0-1</t>
  </si>
  <si>
    <t>All:2-4
Grass:1-1
Slam:0-1</t>
  </si>
  <si>
    <t>13. Linda Noskova</t>
  </si>
  <si>
    <t>All:2-3
Grass:0-0
Slam:1-0</t>
  </si>
  <si>
    <t>All:1-3
Grass:0-1
Slam:0-0</t>
  </si>
  <si>
    <t>All:2-1
Grass:0-1
Slam:1-0</t>
  </si>
  <si>
    <t>All:2-2
Grass:0-1
Slam:1-0</t>
  </si>
  <si>
    <t>14. Karolina Muchova</t>
  </si>
  <si>
    <t>All:2-6
Grass:0-1
Slam:0-2</t>
  </si>
  <si>
    <t>All:3-4
Grass:1-2
Slam:1-1</t>
  </si>
  <si>
    <t>All:3-5
Grass:1-1
Slam:2-2</t>
  </si>
  <si>
    <t>15. Naomi Osaka</t>
  </si>
  <si>
    <t>All:4-5
Grass:1-1
Slam:2-2</t>
  </si>
  <si>
    <t>All:2-5
Grass:0-2
Slam:0-2</t>
  </si>
  <si>
    <t>All:3-5
Grass:1-1
Slam:1-2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</si>
</sst>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4">
    <font>
      <sz val="11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b/>
      <sz val="8"/>
      <color rgb="FFFFFFFF"/>
      <name val="Arial"/>
      <charset val="134"/>
    </font>
    <font>
      <b/>
      <sz val="9"/>
      <color rgb="FFFFFFFF"/>
      <name val="Arial"/>
      <charset val="134"/>
    </font>
    <font>
      <sz val="8"/>
      <color rgb="FF1A6B1A"/>
      <name val="Arial"/>
      <charset val="134"/>
    </font>
    <font>
      <sz val="8"/>
      <color rgb="FFC00000"/>
      <name val="Arial"/>
      <charset val="134"/>
    </font>
    <font>
      <sz val="8"/>
      <color rgb="FFC8901A"/>
      <name val="Arial"/>
      <charset val="134"/>
    </font>
    <font>
      <i/>
      <sz val="8"/>
      <color rgb="FFFFFFFF"/>
      <name val="Arial"/>
      <charset val="134"/>
    </font>
    <font>
      <sz val="9"/>
      <color rgb="FF000000"/>
      <name val="Arial"/>
      <charset val="134"/>
    </font>
    <font>
      <b/>
      <sz val="9"/>
      <color rgb="FF1A3A0F"/>
      <name val="Arial"/>
      <charset val="134"/>
    </font>
    <font>
      <b/>
      <sz val="9"/>
      <color rgb="FFC8901A"/>
      <name val="Arial"/>
      <charset val="134"/>
    </font>
    <font>
      <b/>
      <sz val="11"/>
      <color rgb="FFC00000"/>
      <name val="Arial"/>
      <charset val="134"/>
    </font>
    <font>
      <b/>
      <sz val="11"/>
      <color rgb="FF1A6B1A"/>
      <name val="Arial"/>
      <charset val="134"/>
    </font>
    <font>
      <b/>
      <sz val="11"/>
      <color rgb="FFC8901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A3A0F"/>
        <bgColor indexed="64"/>
      </patternFill>
    </fill>
    <fill>
      <patternFill patternType="solid">
        <fgColor rgb="FF2D5A1B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F5F2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CCAA"/>
      </left>
      <right style="thin">
        <color rgb="FFBBCCAA"/>
      </right>
      <top style="thin">
        <color rgb="FFBBCCAA"/>
      </top>
      <bottom style="thin">
        <color rgb="FFBBCC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0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6" applyNumberFormat="0" applyAlignment="0" applyProtection="0">
      <alignment vertical="center"/>
    </xf>
    <xf numFmtId="0" fontId="25" fillId="12" borderId="5" applyNumberFormat="0" applyAlignment="0" applyProtection="0">
      <alignment vertical="center"/>
    </xf>
    <xf numFmtId="0" fontId="26" fillId="13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3A0F"/>
  </sheetPr>
  <dimension ref="A1:U53"/>
  <sheetViews>
    <sheetView showGridLines="0" tabSelected="1" workbookViewId="0">
      <pane xSplit="2" ySplit="3" topLeftCell="C4" activePane="bottomRight" state="frozen"/>
      <selection/>
      <selection pane="topRight"/>
      <selection pane="bottomLeft"/>
      <selection pane="bottomRight" activeCell="A1" sqref="A1:U1"/>
    </sheetView>
  </sheetViews>
  <sheetFormatPr defaultColWidth="9" defaultRowHeight="14.4"/>
  <cols>
    <col min="1" max="1" width="5" customWidth="1"/>
    <col min="2" max="2" width="24" customWidth="1"/>
    <col min="3" max="3" width="12" customWidth="1"/>
    <col min="4" max="5" width="5" customWidth="1"/>
    <col min="6" max="6" width="7" customWidth="1"/>
    <col min="7" max="7" width="9" customWidth="1"/>
    <col min="8" max="8" width="8" customWidth="1"/>
    <col min="9" max="10" width="10" customWidth="1"/>
    <col min="11" max="11" width="12" customWidth="1"/>
    <col min="12" max="14" width="10" customWidth="1"/>
    <col min="15" max="15" width="28" customWidth="1"/>
    <col min="16" max="19" width="22" customWidth="1"/>
    <col min="20" max="21" width="34" customWidth="1"/>
  </cols>
  <sheetData>
    <row r="1" ht="24" customHeight="1" spans="1:1">
      <c r="A1" s="1" t="s">
        <v>0</v>
      </c>
    </row>
    <row r="2" ht="14" customHeight="1" spans="1:1">
      <c r="A2" s="9" t="s">
        <v>1</v>
      </c>
    </row>
    <row r="3" ht="34" customHeight="1" spans="1:21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0" t="s">
        <v>21</v>
      </c>
      <c r="U3" s="10" t="s">
        <v>22</v>
      </c>
    </row>
    <row r="4" ht="46" customHeight="1" spans="1:21">
      <c r="A4" s="11">
        <v>1</v>
      </c>
      <c r="B4" s="12" t="s">
        <v>23</v>
      </c>
      <c r="C4" s="13" t="s">
        <v>24</v>
      </c>
      <c r="D4" s="11" t="s">
        <v>25</v>
      </c>
      <c r="E4" s="11">
        <v>22</v>
      </c>
      <c r="F4" s="11">
        <v>1</v>
      </c>
      <c r="G4" s="11">
        <v>13550</v>
      </c>
      <c r="H4" s="14" t="s">
        <v>26</v>
      </c>
      <c r="I4" s="19">
        <v>19</v>
      </c>
      <c r="J4" s="19">
        <v>20</v>
      </c>
      <c r="K4" s="19">
        <v>19</v>
      </c>
      <c r="L4" s="19">
        <v>20</v>
      </c>
      <c r="M4" s="19">
        <v>18</v>
      </c>
      <c r="N4" s="21">
        <f t="shared" ref="N4:N53" si="0">SUM(I4:M4)</f>
        <v>96</v>
      </c>
      <c r="O4" s="22" t="s">
        <v>27</v>
      </c>
      <c r="P4" s="22" t="s">
        <v>28</v>
      </c>
      <c r="Q4" s="22" t="s">
        <v>29</v>
      </c>
      <c r="R4" s="22" t="s">
        <v>30</v>
      </c>
      <c r="S4" s="22" t="s">
        <v>31</v>
      </c>
      <c r="T4" s="22" t="s">
        <v>32</v>
      </c>
      <c r="U4" s="22" t="s">
        <v>33</v>
      </c>
    </row>
    <row r="5" ht="46" customHeight="1" spans="1:21">
      <c r="A5" s="15">
        <v>2</v>
      </c>
      <c r="B5" s="16" t="s">
        <v>34</v>
      </c>
      <c r="C5" s="17" t="s">
        <v>35</v>
      </c>
      <c r="D5" s="15" t="s">
        <v>36</v>
      </c>
      <c r="E5" s="15">
        <v>24</v>
      </c>
      <c r="F5" s="15">
        <v>2</v>
      </c>
      <c r="G5" s="15">
        <v>11400</v>
      </c>
      <c r="H5" s="14" t="s">
        <v>37</v>
      </c>
      <c r="I5" s="19">
        <v>18</v>
      </c>
      <c r="J5" s="19">
        <v>18</v>
      </c>
      <c r="K5" s="19">
        <v>17</v>
      </c>
      <c r="L5" s="19">
        <v>17</v>
      </c>
      <c r="M5" s="19">
        <v>17</v>
      </c>
      <c r="N5" s="21">
        <f t="shared" si="0"/>
        <v>87</v>
      </c>
      <c r="O5" s="23" t="s">
        <v>38</v>
      </c>
      <c r="P5" s="23" t="s">
        <v>39</v>
      </c>
      <c r="Q5" s="23" t="s">
        <v>40</v>
      </c>
      <c r="R5" s="23" t="s">
        <v>41</v>
      </c>
      <c r="S5" s="23" t="s">
        <v>42</v>
      </c>
      <c r="T5" s="23" t="s">
        <v>43</v>
      </c>
      <c r="U5" s="23" t="s">
        <v>44</v>
      </c>
    </row>
    <row r="6" ht="46" customHeight="1" spans="1:21">
      <c r="A6" s="11">
        <v>3</v>
      </c>
      <c r="B6" s="12" t="s">
        <v>45</v>
      </c>
      <c r="C6" s="13" t="s">
        <v>46</v>
      </c>
      <c r="D6" s="11" t="s">
        <v>47</v>
      </c>
      <c r="E6" s="11">
        <v>38</v>
      </c>
      <c r="F6" s="11">
        <v>3</v>
      </c>
      <c r="G6" s="11">
        <v>5370</v>
      </c>
      <c r="H6" s="14" t="s">
        <v>48</v>
      </c>
      <c r="I6" s="20">
        <v>15</v>
      </c>
      <c r="J6" s="18">
        <v>7</v>
      </c>
      <c r="K6" s="19">
        <v>20</v>
      </c>
      <c r="L6" s="19">
        <v>17</v>
      </c>
      <c r="M6" s="18">
        <v>10</v>
      </c>
      <c r="N6" s="21">
        <f t="shared" si="0"/>
        <v>69</v>
      </c>
      <c r="O6" s="22" t="s">
        <v>49</v>
      </c>
      <c r="P6" s="22" t="s">
        <v>50</v>
      </c>
      <c r="Q6" s="22" t="s">
        <v>51</v>
      </c>
      <c r="R6" s="22" t="s">
        <v>52</v>
      </c>
      <c r="S6" s="22" t="s">
        <v>53</v>
      </c>
      <c r="T6" s="22" t="s">
        <v>54</v>
      </c>
      <c r="U6" s="22" t="s">
        <v>55</v>
      </c>
    </row>
    <row r="7" ht="46" customHeight="1" spans="1:21">
      <c r="A7" s="15">
        <v>4</v>
      </c>
      <c r="B7" s="16" t="s">
        <v>56</v>
      </c>
      <c r="C7" s="17" t="s">
        <v>57</v>
      </c>
      <c r="D7" s="15" t="s">
        <v>58</v>
      </c>
      <c r="E7" s="15">
        <v>28</v>
      </c>
      <c r="F7" s="15">
        <v>4</v>
      </c>
      <c r="G7" s="15">
        <v>4905</v>
      </c>
      <c r="H7" s="14" t="s">
        <v>59</v>
      </c>
      <c r="I7" s="18">
        <v>5</v>
      </c>
      <c r="J7" s="19">
        <v>17</v>
      </c>
      <c r="K7" s="20">
        <v>13</v>
      </c>
      <c r="L7" s="20">
        <v>13</v>
      </c>
      <c r="M7" s="20">
        <v>14</v>
      </c>
      <c r="N7" s="21">
        <f t="shared" si="0"/>
        <v>62</v>
      </c>
      <c r="O7" s="23" t="s">
        <v>60</v>
      </c>
      <c r="P7" s="23" t="s">
        <v>61</v>
      </c>
      <c r="Q7" s="23" t="s">
        <v>62</v>
      </c>
      <c r="R7" s="23" t="s">
        <v>63</v>
      </c>
      <c r="S7" s="23" t="s">
        <v>64</v>
      </c>
      <c r="T7" s="23" t="s">
        <v>65</v>
      </c>
      <c r="U7" s="23" t="s">
        <v>66</v>
      </c>
    </row>
    <row r="8" ht="46" customHeight="1" spans="1:21">
      <c r="A8" s="11">
        <v>5</v>
      </c>
      <c r="B8" s="12" t="s">
        <v>67</v>
      </c>
      <c r="C8" s="13" t="s">
        <v>35</v>
      </c>
      <c r="D8" s="11" t="s">
        <v>36</v>
      </c>
      <c r="E8" s="11">
        <v>24</v>
      </c>
      <c r="F8" s="11">
        <v>5</v>
      </c>
      <c r="G8" s="11">
        <v>4365</v>
      </c>
      <c r="H8" s="14" t="s">
        <v>68</v>
      </c>
      <c r="I8" s="18">
        <v>5</v>
      </c>
      <c r="J8" s="19">
        <v>18</v>
      </c>
      <c r="K8" s="18">
        <v>10</v>
      </c>
      <c r="L8" s="20">
        <v>13</v>
      </c>
      <c r="M8" s="20">
        <v>15</v>
      </c>
      <c r="N8" s="21">
        <f t="shared" si="0"/>
        <v>61</v>
      </c>
      <c r="O8" s="22" t="s">
        <v>60</v>
      </c>
      <c r="P8" s="22" t="s">
        <v>69</v>
      </c>
      <c r="Q8" s="22" t="s">
        <v>62</v>
      </c>
      <c r="R8" s="22" t="s">
        <v>63</v>
      </c>
      <c r="S8" s="22" t="s">
        <v>70</v>
      </c>
      <c r="T8" s="22" t="s">
        <v>71</v>
      </c>
      <c r="U8" s="22" t="s">
        <v>72</v>
      </c>
    </row>
    <row r="9" ht="46" customHeight="1" spans="1:21">
      <c r="A9" s="15">
        <v>6</v>
      </c>
      <c r="B9" s="16" t="s">
        <v>73</v>
      </c>
      <c r="C9" s="17" t="s">
        <v>74</v>
      </c>
      <c r="D9" s="15" t="s">
        <v>75</v>
      </c>
      <c r="E9" s="15">
        <v>27</v>
      </c>
      <c r="F9" s="15">
        <v>6</v>
      </c>
      <c r="G9" s="15">
        <v>4185</v>
      </c>
      <c r="H9" s="14" t="s">
        <v>76</v>
      </c>
      <c r="I9" s="18">
        <v>11</v>
      </c>
      <c r="J9" s="19">
        <v>18</v>
      </c>
      <c r="K9" s="18">
        <v>11</v>
      </c>
      <c r="L9" s="18">
        <v>12</v>
      </c>
      <c r="M9" s="20">
        <v>13</v>
      </c>
      <c r="N9" s="21">
        <f t="shared" si="0"/>
        <v>65</v>
      </c>
      <c r="O9" s="23" t="s">
        <v>60</v>
      </c>
      <c r="P9" s="23" t="s">
        <v>77</v>
      </c>
      <c r="Q9" s="23" t="s">
        <v>62</v>
      </c>
      <c r="R9" s="23" t="s">
        <v>63</v>
      </c>
      <c r="S9" s="23" t="s">
        <v>78</v>
      </c>
      <c r="T9" s="23" t="s">
        <v>79</v>
      </c>
      <c r="U9" s="23" t="s">
        <v>80</v>
      </c>
    </row>
    <row r="10" ht="46" customHeight="1" spans="1:21">
      <c r="A10" s="11">
        <v>7</v>
      </c>
      <c r="B10" s="12" t="s">
        <v>81</v>
      </c>
      <c r="C10" s="13" t="s">
        <v>82</v>
      </c>
      <c r="D10" s="11" t="s">
        <v>83</v>
      </c>
      <c r="E10" s="11">
        <v>27</v>
      </c>
      <c r="F10" s="11">
        <v>7</v>
      </c>
      <c r="G10" s="11">
        <v>4170</v>
      </c>
      <c r="H10" s="14" t="s">
        <v>84</v>
      </c>
      <c r="I10" s="18">
        <v>5</v>
      </c>
      <c r="J10" s="19">
        <v>18</v>
      </c>
      <c r="K10" s="18">
        <v>12</v>
      </c>
      <c r="L10" s="20">
        <v>15</v>
      </c>
      <c r="M10" s="20">
        <v>13</v>
      </c>
      <c r="N10" s="21">
        <f t="shared" si="0"/>
        <v>63</v>
      </c>
      <c r="O10" s="22" t="s">
        <v>60</v>
      </c>
      <c r="P10" s="22" t="s">
        <v>77</v>
      </c>
      <c r="Q10" s="22" t="s">
        <v>62</v>
      </c>
      <c r="R10" s="22" t="s">
        <v>63</v>
      </c>
      <c r="S10" s="22" t="s">
        <v>85</v>
      </c>
      <c r="T10" s="22" t="s">
        <v>86</v>
      </c>
      <c r="U10" s="22" t="s">
        <v>87</v>
      </c>
    </row>
    <row r="11" ht="46" customHeight="1" spans="1:21">
      <c r="A11" s="15">
        <v>8</v>
      </c>
      <c r="B11" s="16" t="s">
        <v>88</v>
      </c>
      <c r="C11" s="17" t="s">
        <v>89</v>
      </c>
      <c r="D11" s="15" t="s">
        <v>90</v>
      </c>
      <c r="E11" s="15">
        <v>25</v>
      </c>
      <c r="F11" s="15">
        <v>8</v>
      </c>
      <c r="G11" s="15">
        <v>4000</v>
      </c>
      <c r="H11" s="14" t="s">
        <v>91</v>
      </c>
      <c r="I11" s="18">
        <v>5</v>
      </c>
      <c r="J11" s="19">
        <v>19</v>
      </c>
      <c r="K11" s="18">
        <v>12</v>
      </c>
      <c r="L11" s="20">
        <v>14</v>
      </c>
      <c r="M11" s="20">
        <v>14</v>
      </c>
      <c r="N11" s="21">
        <f t="shared" si="0"/>
        <v>64</v>
      </c>
      <c r="O11" s="23" t="s">
        <v>60</v>
      </c>
      <c r="P11" s="23" t="s">
        <v>92</v>
      </c>
      <c r="Q11" s="23" t="s">
        <v>62</v>
      </c>
      <c r="R11" s="23" t="s">
        <v>63</v>
      </c>
      <c r="S11" s="23" t="s">
        <v>93</v>
      </c>
      <c r="T11" s="23" t="s">
        <v>94</v>
      </c>
      <c r="U11" s="23" t="s">
        <v>95</v>
      </c>
    </row>
    <row r="12" ht="46" customHeight="1" spans="1:21">
      <c r="A12" s="11">
        <v>9</v>
      </c>
      <c r="B12" s="12" t="s">
        <v>96</v>
      </c>
      <c r="C12" s="13" t="s">
        <v>82</v>
      </c>
      <c r="D12" s="11" t="s">
        <v>83</v>
      </c>
      <c r="E12" s="11">
        <v>23</v>
      </c>
      <c r="F12" s="11">
        <v>9</v>
      </c>
      <c r="G12" s="11">
        <v>3860</v>
      </c>
      <c r="H12" s="14" t="s">
        <v>76</v>
      </c>
      <c r="I12" s="18">
        <v>9</v>
      </c>
      <c r="J12" s="19">
        <v>17</v>
      </c>
      <c r="K12" s="18">
        <v>11</v>
      </c>
      <c r="L12" s="20">
        <v>15</v>
      </c>
      <c r="M12" s="18">
        <v>11</v>
      </c>
      <c r="N12" s="21">
        <f t="shared" si="0"/>
        <v>63</v>
      </c>
      <c r="O12" s="22" t="s">
        <v>60</v>
      </c>
      <c r="P12" s="22" t="s">
        <v>97</v>
      </c>
      <c r="Q12" s="22" t="s">
        <v>62</v>
      </c>
      <c r="R12" s="22" t="s">
        <v>63</v>
      </c>
      <c r="S12" s="22" t="s">
        <v>98</v>
      </c>
      <c r="T12" s="22" t="s">
        <v>99</v>
      </c>
      <c r="U12" s="22" t="s">
        <v>100</v>
      </c>
    </row>
    <row r="13" ht="46" customHeight="1" spans="1:21">
      <c r="A13" s="15">
        <v>10</v>
      </c>
      <c r="B13" s="16" t="s">
        <v>101</v>
      </c>
      <c r="C13" s="17" t="s">
        <v>102</v>
      </c>
      <c r="D13" s="15" t="s">
        <v>103</v>
      </c>
      <c r="E13" s="15">
        <v>29</v>
      </c>
      <c r="F13" s="15">
        <v>10</v>
      </c>
      <c r="G13" s="15">
        <v>3610</v>
      </c>
      <c r="H13" s="14" t="s">
        <v>59</v>
      </c>
      <c r="I13" s="18">
        <v>5</v>
      </c>
      <c r="J13" s="20">
        <v>14</v>
      </c>
      <c r="K13" s="20">
        <v>15</v>
      </c>
      <c r="L13" s="18">
        <v>11</v>
      </c>
      <c r="M13" s="18">
        <v>12</v>
      </c>
      <c r="N13" s="21">
        <f t="shared" si="0"/>
        <v>57</v>
      </c>
      <c r="O13" s="23" t="s">
        <v>60</v>
      </c>
      <c r="P13" s="23" t="s">
        <v>104</v>
      </c>
      <c r="Q13" s="23" t="s">
        <v>105</v>
      </c>
      <c r="R13" s="23" t="s">
        <v>63</v>
      </c>
      <c r="S13" s="23" t="s">
        <v>106</v>
      </c>
      <c r="T13" s="23" t="s">
        <v>107</v>
      </c>
      <c r="U13" s="23" t="s">
        <v>108</v>
      </c>
    </row>
    <row r="14" ht="46" customHeight="1" spans="1:21">
      <c r="A14" s="11">
        <v>11</v>
      </c>
      <c r="B14" s="12" t="s">
        <v>109</v>
      </c>
      <c r="C14" s="13" t="s">
        <v>110</v>
      </c>
      <c r="D14" s="11" t="s">
        <v>111</v>
      </c>
      <c r="E14" s="11">
        <v>27</v>
      </c>
      <c r="F14" s="11">
        <v>11</v>
      </c>
      <c r="G14" s="11">
        <v>3385</v>
      </c>
      <c r="H14" s="14" t="s">
        <v>112</v>
      </c>
      <c r="I14" s="20">
        <v>13</v>
      </c>
      <c r="J14" s="19">
        <v>18</v>
      </c>
      <c r="K14" s="18">
        <v>9</v>
      </c>
      <c r="L14" s="20">
        <v>14</v>
      </c>
      <c r="M14" s="20">
        <v>13</v>
      </c>
      <c r="N14" s="21">
        <f t="shared" si="0"/>
        <v>67</v>
      </c>
      <c r="O14" s="22" t="s">
        <v>60</v>
      </c>
      <c r="P14" s="22" t="s">
        <v>77</v>
      </c>
      <c r="Q14" s="22" t="s">
        <v>62</v>
      </c>
      <c r="R14" s="22" t="s">
        <v>63</v>
      </c>
      <c r="S14" s="22" t="s">
        <v>113</v>
      </c>
      <c r="T14" s="22" t="s">
        <v>114</v>
      </c>
      <c r="U14" s="22" t="s">
        <v>115</v>
      </c>
    </row>
    <row r="15" ht="46" customHeight="1" spans="1:21">
      <c r="A15" s="15">
        <v>12</v>
      </c>
      <c r="B15" s="16" t="s">
        <v>116</v>
      </c>
      <c r="C15" s="17" t="s">
        <v>117</v>
      </c>
      <c r="D15" s="15" t="s">
        <v>118</v>
      </c>
      <c r="E15" s="15">
        <v>27</v>
      </c>
      <c r="F15" s="15">
        <v>12</v>
      </c>
      <c r="G15" s="15">
        <v>2715</v>
      </c>
      <c r="H15" s="14" t="s">
        <v>91</v>
      </c>
      <c r="I15" s="18">
        <v>5</v>
      </c>
      <c r="J15" s="19">
        <v>18</v>
      </c>
      <c r="K15" s="20">
        <v>13</v>
      </c>
      <c r="L15" s="18">
        <v>10</v>
      </c>
      <c r="M15" s="18">
        <v>12</v>
      </c>
      <c r="N15" s="21">
        <f t="shared" si="0"/>
        <v>58</v>
      </c>
      <c r="O15" s="23" t="s">
        <v>60</v>
      </c>
      <c r="P15" s="23" t="s">
        <v>77</v>
      </c>
      <c r="Q15" s="23" t="s">
        <v>62</v>
      </c>
      <c r="R15" s="23" t="s">
        <v>63</v>
      </c>
      <c r="S15" s="23" t="s">
        <v>119</v>
      </c>
      <c r="T15" s="23" t="s">
        <v>120</v>
      </c>
      <c r="U15" s="23" t="s">
        <v>121</v>
      </c>
    </row>
    <row r="16" ht="46" customHeight="1" spans="1:21">
      <c r="A16" s="11">
        <v>13</v>
      </c>
      <c r="B16" s="12" t="s">
        <v>122</v>
      </c>
      <c r="C16" s="13" t="s">
        <v>123</v>
      </c>
      <c r="D16" s="11" t="s">
        <v>124</v>
      </c>
      <c r="E16" s="11">
        <v>20</v>
      </c>
      <c r="F16" s="11">
        <v>13</v>
      </c>
      <c r="G16" s="11">
        <v>2650</v>
      </c>
      <c r="H16" s="14" t="s">
        <v>125</v>
      </c>
      <c r="I16" s="18">
        <v>5</v>
      </c>
      <c r="J16" s="19">
        <v>20</v>
      </c>
      <c r="K16" s="18">
        <v>10</v>
      </c>
      <c r="L16" s="20">
        <v>13</v>
      </c>
      <c r="M16" s="20">
        <v>14</v>
      </c>
      <c r="N16" s="21">
        <f t="shared" si="0"/>
        <v>62</v>
      </c>
      <c r="O16" s="22" t="s">
        <v>60</v>
      </c>
      <c r="P16" s="22" t="s">
        <v>126</v>
      </c>
      <c r="Q16" s="22" t="s">
        <v>62</v>
      </c>
      <c r="R16" s="22" t="s">
        <v>63</v>
      </c>
      <c r="S16" s="22" t="s">
        <v>127</v>
      </c>
      <c r="T16" s="22" t="s">
        <v>128</v>
      </c>
      <c r="U16" s="22" t="s">
        <v>129</v>
      </c>
    </row>
    <row r="17" ht="46" customHeight="1" spans="1:21">
      <c r="A17" s="15">
        <v>14</v>
      </c>
      <c r="B17" s="16" t="s">
        <v>130</v>
      </c>
      <c r="C17" s="17" t="s">
        <v>35</v>
      </c>
      <c r="D17" s="15" t="s">
        <v>36</v>
      </c>
      <c r="E17" s="15">
        <v>23</v>
      </c>
      <c r="F17" s="15">
        <v>14</v>
      </c>
      <c r="G17" s="15">
        <v>2520</v>
      </c>
      <c r="H17" s="14" t="s">
        <v>131</v>
      </c>
      <c r="I17" s="18">
        <v>10</v>
      </c>
      <c r="J17" s="19">
        <v>19</v>
      </c>
      <c r="K17" s="18">
        <v>8</v>
      </c>
      <c r="L17" s="18">
        <v>11</v>
      </c>
      <c r="M17" s="20">
        <v>13</v>
      </c>
      <c r="N17" s="21">
        <f t="shared" si="0"/>
        <v>61</v>
      </c>
      <c r="O17" s="23" t="s">
        <v>60</v>
      </c>
      <c r="P17" s="23" t="s">
        <v>97</v>
      </c>
      <c r="Q17" s="23" t="s">
        <v>62</v>
      </c>
      <c r="R17" s="23" t="s">
        <v>63</v>
      </c>
      <c r="S17" s="23" t="s">
        <v>132</v>
      </c>
      <c r="T17" s="23" t="s">
        <v>133</v>
      </c>
      <c r="U17" s="23" t="s">
        <v>134</v>
      </c>
    </row>
    <row r="18" ht="46" customHeight="1" spans="1:21">
      <c r="A18" s="11">
        <v>15</v>
      </c>
      <c r="B18" s="12" t="s">
        <v>135</v>
      </c>
      <c r="C18" s="13" t="s">
        <v>102</v>
      </c>
      <c r="D18" s="11" t="s">
        <v>103</v>
      </c>
      <c r="E18" s="11">
        <v>29</v>
      </c>
      <c r="F18" s="11">
        <v>15</v>
      </c>
      <c r="G18" s="11">
        <v>2410</v>
      </c>
      <c r="H18" s="14" t="s">
        <v>112</v>
      </c>
      <c r="I18" s="18">
        <v>11</v>
      </c>
      <c r="J18" s="20">
        <v>14</v>
      </c>
      <c r="K18" s="18">
        <v>12</v>
      </c>
      <c r="L18" s="18">
        <v>12</v>
      </c>
      <c r="M18" s="18">
        <v>11</v>
      </c>
      <c r="N18" s="21">
        <f t="shared" si="0"/>
        <v>60</v>
      </c>
      <c r="O18" s="22" t="s">
        <v>60</v>
      </c>
      <c r="P18" s="22" t="s">
        <v>104</v>
      </c>
      <c r="Q18" s="22" t="s">
        <v>62</v>
      </c>
      <c r="R18" s="22" t="s">
        <v>63</v>
      </c>
      <c r="S18" s="22" t="s">
        <v>136</v>
      </c>
      <c r="T18" s="22" t="s">
        <v>137</v>
      </c>
      <c r="U18" s="22" t="s">
        <v>138</v>
      </c>
    </row>
    <row r="19" ht="46" customHeight="1" spans="1:21">
      <c r="A19" s="15">
        <v>16</v>
      </c>
      <c r="B19" s="16" t="s">
        <v>139</v>
      </c>
      <c r="C19" s="17" t="s">
        <v>102</v>
      </c>
      <c r="D19" s="15" t="s">
        <v>103</v>
      </c>
      <c r="E19" s="15">
        <v>28</v>
      </c>
      <c r="F19" s="15">
        <v>16</v>
      </c>
      <c r="G19" s="15">
        <v>2400</v>
      </c>
      <c r="H19" s="14" t="s">
        <v>91</v>
      </c>
      <c r="I19" s="18">
        <v>5</v>
      </c>
      <c r="J19" s="19">
        <v>17</v>
      </c>
      <c r="K19" s="18">
        <v>11</v>
      </c>
      <c r="L19" s="18">
        <v>11</v>
      </c>
      <c r="M19" s="18">
        <v>12</v>
      </c>
      <c r="N19" s="21">
        <f t="shared" si="0"/>
        <v>56</v>
      </c>
      <c r="O19" s="23" t="s">
        <v>60</v>
      </c>
      <c r="P19" s="23" t="s">
        <v>61</v>
      </c>
      <c r="Q19" s="23" t="s">
        <v>62</v>
      </c>
      <c r="R19" s="23" t="s">
        <v>63</v>
      </c>
      <c r="S19" s="23" t="s">
        <v>140</v>
      </c>
      <c r="T19" s="23" t="s">
        <v>141</v>
      </c>
      <c r="U19" s="23" t="s">
        <v>142</v>
      </c>
    </row>
    <row r="20" ht="46" customHeight="1" spans="1:21">
      <c r="A20" s="11">
        <v>17</v>
      </c>
      <c r="B20" s="12" t="s">
        <v>143</v>
      </c>
      <c r="C20" s="13" t="s">
        <v>24</v>
      </c>
      <c r="D20" s="11" t="s">
        <v>25</v>
      </c>
      <c r="E20" s="11">
        <v>26</v>
      </c>
      <c r="F20" s="11">
        <v>17</v>
      </c>
      <c r="G20" s="11">
        <v>2260</v>
      </c>
      <c r="H20" s="14" t="s">
        <v>131</v>
      </c>
      <c r="I20" s="18">
        <v>10</v>
      </c>
      <c r="J20" s="19">
        <v>18</v>
      </c>
      <c r="K20" s="18">
        <v>8</v>
      </c>
      <c r="L20" s="18">
        <v>10</v>
      </c>
      <c r="M20" s="18">
        <v>12</v>
      </c>
      <c r="N20" s="21">
        <f t="shared" si="0"/>
        <v>58</v>
      </c>
      <c r="O20" s="22" t="s">
        <v>60</v>
      </c>
      <c r="P20" s="22" t="s">
        <v>144</v>
      </c>
      <c r="Q20" s="22" t="s">
        <v>62</v>
      </c>
      <c r="R20" s="22" t="s">
        <v>63</v>
      </c>
      <c r="S20" s="22" t="s">
        <v>145</v>
      </c>
      <c r="T20" s="22" t="s">
        <v>146</v>
      </c>
      <c r="U20" s="22" t="s">
        <v>147</v>
      </c>
    </row>
    <row r="21" ht="46" customHeight="1" spans="1:21">
      <c r="A21" s="15">
        <v>18</v>
      </c>
      <c r="B21" s="16" t="s">
        <v>148</v>
      </c>
      <c r="C21" s="17" t="s">
        <v>149</v>
      </c>
      <c r="D21" s="15" t="s">
        <v>150</v>
      </c>
      <c r="E21" s="15">
        <v>22</v>
      </c>
      <c r="F21" s="15">
        <v>18</v>
      </c>
      <c r="G21" s="15">
        <v>2340</v>
      </c>
      <c r="H21" s="14" t="s">
        <v>68</v>
      </c>
      <c r="I21" s="18">
        <v>5</v>
      </c>
      <c r="J21" s="19">
        <v>18</v>
      </c>
      <c r="K21" s="18">
        <v>11</v>
      </c>
      <c r="L21" s="20">
        <v>14</v>
      </c>
      <c r="M21" s="20">
        <v>13</v>
      </c>
      <c r="N21" s="21">
        <f t="shared" si="0"/>
        <v>61</v>
      </c>
      <c r="O21" s="23" t="s">
        <v>60</v>
      </c>
      <c r="P21" s="23" t="s">
        <v>151</v>
      </c>
      <c r="Q21" s="23" t="s">
        <v>62</v>
      </c>
      <c r="R21" s="23" t="s">
        <v>63</v>
      </c>
      <c r="S21" s="23" t="s">
        <v>152</v>
      </c>
      <c r="T21" s="23" t="s">
        <v>153</v>
      </c>
      <c r="U21" s="23" t="s">
        <v>154</v>
      </c>
    </row>
    <row r="22" ht="46" customHeight="1" spans="1:21">
      <c r="A22" s="11">
        <v>19</v>
      </c>
      <c r="B22" s="12" t="s">
        <v>155</v>
      </c>
      <c r="C22" s="13" t="s">
        <v>156</v>
      </c>
      <c r="D22" s="11" t="s">
        <v>157</v>
      </c>
      <c r="E22" s="11">
        <v>27</v>
      </c>
      <c r="F22" s="11">
        <v>19</v>
      </c>
      <c r="G22" s="11">
        <v>2020</v>
      </c>
      <c r="H22" s="14" t="s">
        <v>131</v>
      </c>
      <c r="I22" s="18">
        <v>10</v>
      </c>
      <c r="J22" s="19">
        <v>17</v>
      </c>
      <c r="K22" s="18">
        <v>8</v>
      </c>
      <c r="L22" s="18">
        <v>9</v>
      </c>
      <c r="M22" s="18">
        <v>12</v>
      </c>
      <c r="N22" s="21">
        <f t="shared" si="0"/>
        <v>56</v>
      </c>
      <c r="O22" s="22" t="s">
        <v>60</v>
      </c>
      <c r="P22" s="22" t="s">
        <v>77</v>
      </c>
      <c r="Q22" s="22" t="s">
        <v>62</v>
      </c>
      <c r="R22" s="22" t="s">
        <v>63</v>
      </c>
      <c r="S22" s="22" t="s">
        <v>158</v>
      </c>
      <c r="T22" s="22" t="s">
        <v>159</v>
      </c>
      <c r="U22" s="22" t="s">
        <v>160</v>
      </c>
    </row>
    <row r="23" ht="46" customHeight="1" spans="1:21">
      <c r="A23" s="15">
        <v>20</v>
      </c>
      <c r="B23" s="16" t="s">
        <v>161</v>
      </c>
      <c r="C23" s="17" t="s">
        <v>82</v>
      </c>
      <c r="D23" s="15" t="s">
        <v>83</v>
      </c>
      <c r="E23" s="15">
        <v>27</v>
      </c>
      <c r="F23" s="15">
        <v>20</v>
      </c>
      <c r="G23" s="15">
        <v>1920</v>
      </c>
      <c r="H23" s="14" t="s">
        <v>112</v>
      </c>
      <c r="I23" s="18">
        <v>10</v>
      </c>
      <c r="J23" s="19">
        <v>17</v>
      </c>
      <c r="K23" s="18">
        <v>11</v>
      </c>
      <c r="L23" s="18">
        <v>12</v>
      </c>
      <c r="M23" s="18">
        <v>11</v>
      </c>
      <c r="N23" s="21">
        <f t="shared" si="0"/>
        <v>61</v>
      </c>
      <c r="O23" s="23" t="s">
        <v>60</v>
      </c>
      <c r="P23" s="23" t="s">
        <v>77</v>
      </c>
      <c r="Q23" s="23" t="s">
        <v>62</v>
      </c>
      <c r="R23" s="23" t="s">
        <v>63</v>
      </c>
      <c r="S23" s="23" t="s">
        <v>162</v>
      </c>
      <c r="T23" s="23" t="s">
        <v>163</v>
      </c>
      <c r="U23" s="23" t="s">
        <v>164</v>
      </c>
    </row>
    <row r="24" ht="46" customHeight="1" spans="1:21">
      <c r="A24" s="11">
        <v>21</v>
      </c>
      <c r="B24" s="12" t="s">
        <v>165</v>
      </c>
      <c r="C24" s="13" t="s">
        <v>82</v>
      </c>
      <c r="D24" s="11" t="s">
        <v>83</v>
      </c>
      <c r="E24" s="11">
        <v>20</v>
      </c>
      <c r="F24" s="11">
        <v>21</v>
      </c>
      <c r="G24" s="11">
        <v>1860</v>
      </c>
      <c r="H24" s="14" t="s">
        <v>131</v>
      </c>
      <c r="I24" s="18">
        <v>10</v>
      </c>
      <c r="J24" s="19">
        <v>20</v>
      </c>
      <c r="K24" s="18">
        <v>8</v>
      </c>
      <c r="L24" s="18">
        <v>11</v>
      </c>
      <c r="M24" s="20">
        <v>14</v>
      </c>
      <c r="N24" s="21">
        <f t="shared" si="0"/>
        <v>63</v>
      </c>
      <c r="O24" s="22" t="s">
        <v>60</v>
      </c>
      <c r="P24" s="22" t="s">
        <v>126</v>
      </c>
      <c r="Q24" s="22" t="s">
        <v>62</v>
      </c>
      <c r="R24" s="22" t="s">
        <v>63</v>
      </c>
      <c r="S24" s="22" t="s">
        <v>166</v>
      </c>
      <c r="T24" s="22" t="s">
        <v>167</v>
      </c>
      <c r="U24" s="22" t="s">
        <v>168</v>
      </c>
    </row>
    <row r="25" ht="46" customHeight="1" spans="1:21">
      <c r="A25" s="15">
        <v>22</v>
      </c>
      <c r="B25" s="16" t="s">
        <v>169</v>
      </c>
      <c r="C25" s="17" t="s">
        <v>123</v>
      </c>
      <c r="D25" s="15" t="s">
        <v>124</v>
      </c>
      <c r="E25" s="15">
        <v>23</v>
      </c>
      <c r="F25" s="15">
        <v>22</v>
      </c>
      <c r="G25" s="15">
        <v>1860</v>
      </c>
      <c r="H25" s="14" t="s">
        <v>125</v>
      </c>
      <c r="I25" s="18">
        <v>11</v>
      </c>
      <c r="J25" s="19">
        <v>19</v>
      </c>
      <c r="K25" s="18">
        <v>9</v>
      </c>
      <c r="L25" s="18">
        <v>12</v>
      </c>
      <c r="M25" s="18">
        <v>12</v>
      </c>
      <c r="N25" s="21">
        <f t="shared" si="0"/>
        <v>63</v>
      </c>
      <c r="O25" s="23" t="s">
        <v>60</v>
      </c>
      <c r="P25" s="23" t="s">
        <v>97</v>
      </c>
      <c r="Q25" s="23" t="s">
        <v>62</v>
      </c>
      <c r="R25" s="23" t="s">
        <v>63</v>
      </c>
      <c r="S25" s="23" t="s">
        <v>170</v>
      </c>
      <c r="T25" s="23" t="s">
        <v>171</v>
      </c>
      <c r="U25" s="23" t="s">
        <v>172</v>
      </c>
    </row>
    <row r="26" ht="46" customHeight="1" spans="1:21">
      <c r="A26" s="11">
        <v>23</v>
      </c>
      <c r="B26" s="12" t="s">
        <v>173</v>
      </c>
      <c r="C26" s="13" t="s">
        <v>82</v>
      </c>
      <c r="D26" s="11" t="s">
        <v>83</v>
      </c>
      <c r="E26" s="11">
        <v>27</v>
      </c>
      <c r="F26" s="11">
        <v>23</v>
      </c>
      <c r="G26" s="11">
        <v>1700</v>
      </c>
      <c r="H26" s="14" t="s">
        <v>112</v>
      </c>
      <c r="I26" s="18">
        <v>5</v>
      </c>
      <c r="J26" s="19">
        <v>17</v>
      </c>
      <c r="K26" s="18">
        <v>10</v>
      </c>
      <c r="L26" s="18">
        <v>12</v>
      </c>
      <c r="M26" s="18">
        <v>11</v>
      </c>
      <c r="N26" s="21">
        <f t="shared" si="0"/>
        <v>55</v>
      </c>
      <c r="O26" s="22" t="s">
        <v>60</v>
      </c>
      <c r="P26" s="22" t="s">
        <v>77</v>
      </c>
      <c r="Q26" s="22" t="s">
        <v>62</v>
      </c>
      <c r="R26" s="22" t="s">
        <v>63</v>
      </c>
      <c r="S26" s="22" t="s">
        <v>174</v>
      </c>
      <c r="T26" s="22" t="s">
        <v>175</v>
      </c>
      <c r="U26" s="22" t="s">
        <v>176</v>
      </c>
    </row>
    <row r="27" ht="46" customHeight="1" spans="1:21">
      <c r="A27" s="15">
        <v>24</v>
      </c>
      <c r="B27" s="16" t="s">
        <v>177</v>
      </c>
      <c r="C27" s="17" t="s">
        <v>178</v>
      </c>
      <c r="D27" s="15" t="s">
        <v>179</v>
      </c>
      <c r="E27" s="15">
        <v>30</v>
      </c>
      <c r="F27" s="15">
        <v>24</v>
      </c>
      <c r="G27" s="15">
        <v>1603</v>
      </c>
      <c r="H27" s="14" t="s">
        <v>112</v>
      </c>
      <c r="I27" s="18">
        <v>10</v>
      </c>
      <c r="J27" s="20">
        <v>13</v>
      </c>
      <c r="K27" s="18">
        <v>9</v>
      </c>
      <c r="L27" s="18">
        <v>11</v>
      </c>
      <c r="M27" s="18">
        <v>10</v>
      </c>
      <c r="N27" s="21">
        <f t="shared" si="0"/>
        <v>53</v>
      </c>
      <c r="O27" s="23" t="s">
        <v>60</v>
      </c>
      <c r="P27" s="23" t="s">
        <v>180</v>
      </c>
      <c r="Q27" s="23" t="s">
        <v>62</v>
      </c>
      <c r="R27" s="23" t="s">
        <v>63</v>
      </c>
      <c r="S27" s="23" t="s">
        <v>181</v>
      </c>
      <c r="T27" s="23" t="s">
        <v>182</v>
      </c>
      <c r="U27" s="23" t="s">
        <v>183</v>
      </c>
    </row>
    <row r="28" ht="46" customHeight="1" spans="1:21">
      <c r="A28" s="11">
        <v>25</v>
      </c>
      <c r="B28" s="12" t="s">
        <v>184</v>
      </c>
      <c r="C28" s="13" t="s">
        <v>185</v>
      </c>
      <c r="D28" s="11" t="s">
        <v>186</v>
      </c>
      <c r="E28" s="11">
        <v>27</v>
      </c>
      <c r="F28" s="11">
        <v>25</v>
      </c>
      <c r="G28" s="11">
        <v>1605</v>
      </c>
      <c r="H28" s="14" t="s">
        <v>131</v>
      </c>
      <c r="I28" s="18">
        <v>10</v>
      </c>
      <c r="J28" s="19">
        <v>17</v>
      </c>
      <c r="K28" s="18">
        <v>7</v>
      </c>
      <c r="L28" s="18">
        <v>9</v>
      </c>
      <c r="M28" s="18">
        <v>11</v>
      </c>
      <c r="N28" s="21">
        <f t="shared" si="0"/>
        <v>54</v>
      </c>
      <c r="O28" s="22" t="s">
        <v>60</v>
      </c>
      <c r="P28" s="22" t="s">
        <v>77</v>
      </c>
      <c r="Q28" s="22" t="s">
        <v>62</v>
      </c>
      <c r="R28" s="22" t="s">
        <v>63</v>
      </c>
      <c r="S28" s="22" t="s">
        <v>187</v>
      </c>
      <c r="T28" s="22" t="s">
        <v>188</v>
      </c>
      <c r="U28" s="22" t="s">
        <v>189</v>
      </c>
    </row>
    <row r="29" ht="46" customHeight="1" spans="1:21">
      <c r="A29" s="15">
        <v>26</v>
      </c>
      <c r="B29" s="16" t="s">
        <v>190</v>
      </c>
      <c r="C29" s="17" t="s">
        <v>178</v>
      </c>
      <c r="D29" s="15" t="s">
        <v>179</v>
      </c>
      <c r="E29" s="15">
        <v>24</v>
      </c>
      <c r="F29" s="15">
        <v>26</v>
      </c>
      <c r="G29" s="15">
        <v>2790</v>
      </c>
      <c r="H29" s="14" t="s">
        <v>191</v>
      </c>
      <c r="I29" s="20">
        <v>14</v>
      </c>
      <c r="J29" s="19">
        <v>19</v>
      </c>
      <c r="K29" s="18">
        <v>12</v>
      </c>
      <c r="L29" s="20">
        <v>15</v>
      </c>
      <c r="M29" s="20">
        <v>15</v>
      </c>
      <c r="N29" s="21">
        <f t="shared" si="0"/>
        <v>75</v>
      </c>
      <c r="O29" s="23" t="s">
        <v>60</v>
      </c>
      <c r="P29" s="23" t="s">
        <v>69</v>
      </c>
      <c r="Q29" s="23" t="s">
        <v>62</v>
      </c>
      <c r="R29" s="23" t="s">
        <v>63</v>
      </c>
      <c r="S29" s="23" t="s">
        <v>192</v>
      </c>
      <c r="T29" s="23" t="s">
        <v>193</v>
      </c>
      <c r="U29" s="23" t="s">
        <v>194</v>
      </c>
    </row>
    <row r="30" ht="46" customHeight="1" spans="1:21">
      <c r="A30" s="11">
        <v>27</v>
      </c>
      <c r="B30" s="12" t="s">
        <v>195</v>
      </c>
      <c r="C30" s="13" t="s">
        <v>196</v>
      </c>
      <c r="D30" s="11" t="s">
        <v>197</v>
      </c>
      <c r="E30" s="11">
        <v>26</v>
      </c>
      <c r="F30" s="11">
        <v>27</v>
      </c>
      <c r="G30" s="11">
        <v>1530</v>
      </c>
      <c r="H30" s="14" t="s">
        <v>131</v>
      </c>
      <c r="I30" s="18">
        <v>10</v>
      </c>
      <c r="J30" s="19">
        <v>18</v>
      </c>
      <c r="K30" s="18">
        <v>8</v>
      </c>
      <c r="L30" s="18">
        <v>10</v>
      </c>
      <c r="M30" s="18">
        <v>12</v>
      </c>
      <c r="N30" s="21">
        <f t="shared" si="0"/>
        <v>58</v>
      </c>
      <c r="O30" s="22" t="s">
        <v>60</v>
      </c>
      <c r="P30" s="22" t="s">
        <v>144</v>
      </c>
      <c r="Q30" s="22" t="s">
        <v>62</v>
      </c>
      <c r="R30" s="22" t="s">
        <v>63</v>
      </c>
      <c r="S30" s="22" t="s">
        <v>198</v>
      </c>
      <c r="T30" s="22" t="s">
        <v>199</v>
      </c>
      <c r="U30" s="22" t="s">
        <v>200</v>
      </c>
    </row>
    <row r="31" ht="46" customHeight="1" spans="1:21">
      <c r="A31" s="15">
        <v>28</v>
      </c>
      <c r="B31" s="16" t="s">
        <v>201</v>
      </c>
      <c r="C31" s="17" t="s">
        <v>82</v>
      </c>
      <c r="D31" s="15" t="s">
        <v>83</v>
      </c>
      <c r="E31" s="15">
        <v>23</v>
      </c>
      <c r="F31" s="15">
        <v>28</v>
      </c>
      <c r="G31" s="15">
        <v>1535</v>
      </c>
      <c r="H31" s="14" t="s">
        <v>131</v>
      </c>
      <c r="I31" s="18">
        <v>10</v>
      </c>
      <c r="J31" s="19">
        <v>19</v>
      </c>
      <c r="K31" s="18">
        <v>8</v>
      </c>
      <c r="L31" s="18">
        <v>12</v>
      </c>
      <c r="M31" s="18">
        <v>12</v>
      </c>
      <c r="N31" s="21">
        <f t="shared" si="0"/>
        <v>61</v>
      </c>
      <c r="O31" s="23" t="s">
        <v>60</v>
      </c>
      <c r="P31" s="23" t="s">
        <v>97</v>
      </c>
      <c r="Q31" s="23" t="s">
        <v>62</v>
      </c>
      <c r="R31" s="23" t="s">
        <v>63</v>
      </c>
      <c r="S31" s="23" t="s">
        <v>202</v>
      </c>
      <c r="T31" s="23" t="s">
        <v>203</v>
      </c>
      <c r="U31" s="23" t="s">
        <v>204</v>
      </c>
    </row>
    <row r="32" ht="46" customHeight="1" spans="1:21">
      <c r="A32" s="11">
        <v>29</v>
      </c>
      <c r="B32" s="12" t="s">
        <v>205</v>
      </c>
      <c r="C32" s="13" t="s">
        <v>206</v>
      </c>
      <c r="D32" s="11" t="s">
        <v>207</v>
      </c>
      <c r="E32" s="11">
        <v>28</v>
      </c>
      <c r="F32" s="11">
        <v>29</v>
      </c>
      <c r="G32" s="11">
        <v>1655</v>
      </c>
      <c r="H32" s="14" t="s">
        <v>131</v>
      </c>
      <c r="I32" s="18">
        <v>10</v>
      </c>
      <c r="J32" s="19">
        <v>17</v>
      </c>
      <c r="K32" s="18">
        <v>9</v>
      </c>
      <c r="L32" s="18">
        <v>12</v>
      </c>
      <c r="M32" s="18">
        <v>12</v>
      </c>
      <c r="N32" s="21">
        <f t="shared" si="0"/>
        <v>60</v>
      </c>
      <c r="O32" s="22" t="s">
        <v>60</v>
      </c>
      <c r="P32" s="22" t="s">
        <v>61</v>
      </c>
      <c r="Q32" s="22" t="s">
        <v>62</v>
      </c>
      <c r="R32" s="22" t="s">
        <v>63</v>
      </c>
      <c r="S32" s="22" t="s">
        <v>208</v>
      </c>
      <c r="T32" s="22" t="s">
        <v>209</v>
      </c>
      <c r="U32" s="22" t="s">
        <v>210</v>
      </c>
    </row>
    <row r="33" ht="46" customHeight="1" spans="1:21">
      <c r="A33" s="15">
        <v>30</v>
      </c>
      <c r="B33" s="16" t="s">
        <v>211</v>
      </c>
      <c r="C33" s="17" t="s">
        <v>123</v>
      </c>
      <c r="D33" s="15" t="s">
        <v>124</v>
      </c>
      <c r="E33" s="15">
        <v>23</v>
      </c>
      <c r="F33" s="15">
        <v>30</v>
      </c>
      <c r="G33" s="15">
        <v>1510</v>
      </c>
      <c r="H33" s="14" t="s">
        <v>125</v>
      </c>
      <c r="I33" s="18">
        <v>10</v>
      </c>
      <c r="J33" s="19">
        <v>19</v>
      </c>
      <c r="K33" s="18">
        <v>9</v>
      </c>
      <c r="L33" s="20">
        <v>13</v>
      </c>
      <c r="M33" s="20">
        <v>13</v>
      </c>
      <c r="N33" s="21">
        <f t="shared" si="0"/>
        <v>64</v>
      </c>
      <c r="O33" s="23" t="s">
        <v>60</v>
      </c>
      <c r="P33" s="23" t="s">
        <v>97</v>
      </c>
      <c r="Q33" s="23" t="s">
        <v>62</v>
      </c>
      <c r="R33" s="23" t="s">
        <v>63</v>
      </c>
      <c r="S33" s="23" t="s">
        <v>212</v>
      </c>
      <c r="T33" s="23" t="s">
        <v>213</v>
      </c>
      <c r="U33" s="23" t="s">
        <v>214</v>
      </c>
    </row>
    <row r="34" ht="46" customHeight="1" spans="1:21">
      <c r="A34" s="11">
        <v>31</v>
      </c>
      <c r="B34" s="12" t="s">
        <v>215</v>
      </c>
      <c r="C34" s="13" t="s">
        <v>24</v>
      </c>
      <c r="D34" s="11" t="s">
        <v>25</v>
      </c>
      <c r="E34" s="11">
        <v>27</v>
      </c>
      <c r="F34" s="11">
        <v>31</v>
      </c>
      <c r="G34" s="11">
        <v>1490</v>
      </c>
      <c r="H34" s="14" t="s">
        <v>131</v>
      </c>
      <c r="I34" s="18">
        <v>10</v>
      </c>
      <c r="J34" s="19">
        <v>17</v>
      </c>
      <c r="K34" s="18">
        <v>7</v>
      </c>
      <c r="L34" s="18">
        <v>9</v>
      </c>
      <c r="M34" s="18">
        <v>11</v>
      </c>
      <c r="N34" s="21">
        <f t="shared" si="0"/>
        <v>54</v>
      </c>
      <c r="O34" s="22" t="s">
        <v>60</v>
      </c>
      <c r="P34" s="22" t="s">
        <v>77</v>
      </c>
      <c r="Q34" s="22" t="s">
        <v>62</v>
      </c>
      <c r="R34" s="22" t="s">
        <v>63</v>
      </c>
      <c r="S34" s="22" t="s">
        <v>216</v>
      </c>
      <c r="T34" s="22" t="s">
        <v>217</v>
      </c>
      <c r="U34" s="22" t="s">
        <v>218</v>
      </c>
    </row>
    <row r="35" ht="46" customHeight="1" spans="1:21">
      <c r="A35" s="15">
        <v>32</v>
      </c>
      <c r="B35" s="16" t="s">
        <v>219</v>
      </c>
      <c r="C35" s="17" t="s">
        <v>220</v>
      </c>
      <c r="D35" s="15" t="s">
        <v>221</v>
      </c>
      <c r="E35" s="15">
        <v>29</v>
      </c>
      <c r="F35" s="15">
        <v>32</v>
      </c>
      <c r="G35" s="15">
        <v>1480</v>
      </c>
      <c r="H35" s="14" t="s">
        <v>131</v>
      </c>
      <c r="I35" s="18">
        <v>10</v>
      </c>
      <c r="J35" s="20">
        <v>15</v>
      </c>
      <c r="K35" s="18">
        <v>9</v>
      </c>
      <c r="L35" s="18">
        <v>10</v>
      </c>
      <c r="M35" s="18">
        <v>10</v>
      </c>
      <c r="N35" s="21">
        <f t="shared" si="0"/>
        <v>54</v>
      </c>
      <c r="O35" s="23" t="s">
        <v>60</v>
      </c>
      <c r="P35" s="23" t="s">
        <v>104</v>
      </c>
      <c r="Q35" s="23" t="s">
        <v>62</v>
      </c>
      <c r="R35" s="23" t="s">
        <v>63</v>
      </c>
      <c r="S35" s="23" t="s">
        <v>222</v>
      </c>
      <c r="T35" s="23" t="s">
        <v>223</v>
      </c>
      <c r="U35" s="23" t="s">
        <v>224</v>
      </c>
    </row>
    <row r="36" ht="46" customHeight="1" spans="1:21">
      <c r="A36" s="11">
        <v>33</v>
      </c>
      <c r="B36" s="12" t="s">
        <v>225</v>
      </c>
      <c r="C36" s="13" t="s">
        <v>196</v>
      </c>
      <c r="D36" s="11" t="s">
        <v>197</v>
      </c>
      <c r="E36" s="11">
        <v>22</v>
      </c>
      <c r="F36" s="11">
        <v>33</v>
      </c>
      <c r="G36" s="11">
        <v>1470</v>
      </c>
      <c r="H36" s="14" t="s">
        <v>125</v>
      </c>
      <c r="I36" s="18">
        <v>10</v>
      </c>
      <c r="J36" s="19">
        <v>20</v>
      </c>
      <c r="K36" s="18">
        <v>8</v>
      </c>
      <c r="L36" s="20">
        <v>14</v>
      </c>
      <c r="M36" s="18">
        <v>12</v>
      </c>
      <c r="N36" s="21">
        <f t="shared" si="0"/>
        <v>64</v>
      </c>
      <c r="O36" s="22" t="s">
        <v>60</v>
      </c>
      <c r="P36" s="22" t="s">
        <v>151</v>
      </c>
      <c r="Q36" s="22" t="s">
        <v>62</v>
      </c>
      <c r="R36" s="22" t="s">
        <v>63</v>
      </c>
      <c r="S36" s="22" t="s">
        <v>226</v>
      </c>
      <c r="T36" s="22" t="s">
        <v>227</v>
      </c>
      <c r="U36" s="22" t="s">
        <v>228</v>
      </c>
    </row>
    <row r="37" ht="46" customHeight="1" spans="1:21">
      <c r="A37" s="15">
        <v>34</v>
      </c>
      <c r="B37" s="16" t="s">
        <v>229</v>
      </c>
      <c r="C37" s="17" t="s">
        <v>230</v>
      </c>
      <c r="D37" s="15" t="s">
        <v>231</v>
      </c>
      <c r="E37" s="15">
        <v>18</v>
      </c>
      <c r="F37" s="15">
        <v>34</v>
      </c>
      <c r="G37" s="15">
        <v>1460</v>
      </c>
      <c r="H37" s="14" t="s">
        <v>112</v>
      </c>
      <c r="I37" s="18">
        <v>10</v>
      </c>
      <c r="J37" s="19">
        <v>20</v>
      </c>
      <c r="K37" s="18">
        <v>9</v>
      </c>
      <c r="L37" s="18">
        <v>12</v>
      </c>
      <c r="M37" s="20">
        <v>15</v>
      </c>
      <c r="N37" s="21">
        <f t="shared" si="0"/>
        <v>66</v>
      </c>
      <c r="O37" s="23" t="s">
        <v>60</v>
      </c>
      <c r="P37" s="23" t="s">
        <v>232</v>
      </c>
      <c r="Q37" s="23" t="s">
        <v>62</v>
      </c>
      <c r="R37" s="23" t="s">
        <v>63</v>
      </c>
      <c r="S37" s="23" t="s">
        <v>233</v>
      </c>
      <c r="T37" s="23" t="s">
        <v>234</v>
      </c>
      <c r="U37" s="23" t="s">
        <v>235</v>
      </c>
    </row>
    <row r="38" ht="46" customHeight="1" spans="1:21">
      <c r="A38" s="11">
        <v>35</v>
      </c>
      <c r="B38" s="12" t="s">
        <v>236</v>
      </c>
      <c r="C38" s="13" t="s">
        <v>82</v>
      </c>
      <c r="D38" s="11" t="s">
        <v>83</v>
      </c>
      <c r="E38" s="11">
        <v>24</v>
      </c>
      <c r="F38" s="11">
        <v>35</v>
      </c>
      <c r="G38" s="11">
        <v>1420</v>
      </c>
      <c r="H38" s="14" t="s">
        <v>112</v>
      </c>
      <c r="I38" s="18">
        <v>5</v>
      </c>
      <c r="J38" s="19">
        <v>19</v>
      </c>
      <c r="K38" s="18">
        <v>10</v>
      </c>
      <c r="L38" s="18">
        <v>12</v>
      </c>
      <c r="M38" s="20">
        <v>14</v>
      </c>
      <c r="N38" s="21">
        <f t="shared" si="0"/>
        <v>60</v>
      </c>
      <c r="O38" s="22" t="s">
        <v>60</v>
      </c>
      <c r="P38" s="22" t="s">
        <v>69</v>
      </c>
      <c r="Q38" s="22" t="s">
        <v>62</v>
      </c>
      <c r="R38" s="22" t="s">
        <v>63</v>
      </c>
      <c r="S38" s="22" t="s">
        <v>237</v>
      </c>
      <c r="T38" s="22" t="s">
        <v>238</v>
      </c>
      <c r="U38" s="22" t="s">
        <v>239</v>
      </c>
    </row>
    <row r="39" ht="46" customHeight="1" spans="1:21">
      <c r="A39" s="15">
        <v>36</v>
      </c>
      <c r="B39" s="16" t="s">
        <v>240</v>
      </c>
      <c r="C39" s="17" t="s">
        <v>196</v>
      </c>
      <c r="D39" s="15" t="s">
        <v>197</v>
      </c>
      <c r="E39" s="15">
        <v>39</v>
      </c>
      <c r="F39" s="15">
        <v>36</v>
      </c>
      <c r="G39" s="15">
        <v>1400</v>
      </c>
      <c r="H39" s="14" t="s">
        <v>241</v>
      </c>
      <c r="I39" s="18">
        <v>10</v>
      </c>
      <c r="J39" s="18">
        <v>5</v>
      </c>
      <c r="K39" s="18">
        <v>9</v>
      </c>
      <c r="L39" s="18">
        <v>11</v>
      </c>
      <c r="M39" s="18">
        <v>8</v>
      </c>
      <c r="N39" s="21">
        <f t="shared" si="0"/>
        <v>43</v>
      </c>
      <c r="O39" s="23" t="s">
        <v>60</v>
      </c>
      <c r="P39" s="23" t="s">
        <v>242</v>
      </c>
      <c r="Q39" s="23" t="s">
        <v>62</v>
      </c>
      <c r="R39" s="23" t="s">
        <v>63</v>
      </c>
      <c r="S39" s="23" t="s">
        <v>243</v>
      </c>
      <c r="T39" s="23" t="s">
        <v>244</v>
      </c>
      <c r="U39" s="23" t="s">
        <v>245</v>
      </c>
    </row>
    <row r="40" ht="46" customHeight="1" spans="1:21">
      <c r="A40" s="11">
        <v>37</v>
      </c>
      <c r="B40" s="12" t="s">
        <v>246</v>
      </c>
      <c r="C40" s="13" t="s">
        <v>35</v>
      </c>
      <c r="D40" s="11" t="s">
        <v>36</v>
      </c>
      <c r="E40" s="11">
        <v>23</v>
      </c>
      <c r="F40" s="11">
        <v>37</v>
      </c>
      <c r="G40" s="11">
        <v>2084</v>
      </c>
      <c r="H40" s="14" t="s">
        <v>131</v>
      </c>
      <c r="I40" s="18">
        <v>10</v>
      </c>
      <c r="J40" s="19">
        <v>19</v>
      </c>
      <c r="K40" s="18">
        <v>8</v>
      </c>
      <c r="L40" s="18">
        <v>10</v>
      </c>
      <c r="M40" s="20">
        <v>14</v>
      </c>
      <c r="N40" s="21">
        <f t="shared" si="0"/>
        <v>61</v>
      </c>
      <c r="O40" s="22" t="s">
        <v>60</v>
      </c>
      <c r="P40" s="22" t="s">
        <v>97</v>
      </c>
      <c r="Q40" s="22" t="s">
        <v>62</v>
      </c>
      <c r="R40" s="22" t="s">
        <v>63</v>
      </c>
      <c r="S40" s="22" t="s">
        <v>247</v>
      </c>
      <c r="T40" s="22" t="s">
        <v>248</v>
      </c>
      <c r="U40" s="22" t="s">
        <v>249</v>
      </c>
    </row>
    <row r="41" ht="46" customHeight="1" spans="1:21">
      <c r="A41" s="15">
        <v>38</v>
      </c>
      <c r="B41" s="16" t="s">
        <v>250</v>
      </c>
      <c r="C41" s="17" t="s">
        <v>82</v>
      </c>
      <c r="D41" s="15" t="s">
        <v>83</v>
      </c>
      <c r="E41" s="15">
        <v>26</v>
      </c>
      <c r="F41" s="15">
        <v>38</v>
      </c>
      <c r="G41" s="15">
        <v>1380</v>
      </c>
      <c r="H41" s="14" t="s">
        <v>241</v>
      </c>
      <c r="I41" s="18">
        <v>10</v>
      </c>
      <c r="J41" s="19">
        <v>18</v>
      </c>
      <c r="K41" s="18">
        <v>7</v>
      </c>
      <c r="L41" s="18">
        <v>11</v>
      </c>
      <c r="M41" s="18">
        <v>11</v>
      </c>
      <c r="N41" s="21">
        <f t="shared" si="0"/>
        <v>57</v>
      </c>
      <c r="O41" s="23" t="s">
        <v>60</v>
      </c>
      <c r="P41" s="23" t="s">
        <v>144</v>
      </c>
      <c r="Q41" s="23" t="s">
        <v>62</v>
      </c>
      <c r="R41" s="23" t="s">
        <v>63</v>
      </c>
      <c r="S41" s="23" t="s">
        <v>251</v>
      </c>
      <c r="T41" s="23" t="s">
        <v>252</v>
      </c>
      <c r="U41" s="23" t="s">
        <v>253</v>
      </c>
    </row>
    <row r="42" ht="46" customHeight="1" spans="1:21">
      <c r="A42" s="11">
        <v>39</v>
      </c>
      <c r="B42" s="12" t="s">
        <v>254</v>
      </c>
      <c r="C42" s="13" t="s">
        <v>89</v>
      </c>
      <c r="D42" s="11" t="s">
        <v>90</v>
      </c>
      <c r="E42" s="11">
        <v>26</v>
      </c>
      <c r="F42" s="11">
        <v>39</v>
      </c>
      <c r="G42" s="11">
        <v>1370</v>
      </c>
      <c r="H42" s="14" t="s">
        <v>91</v>
      </c>
      <c r="I42" s="18">
        <v>5</v>
      </c>
      <c r="J42" s="19">
        <v>18</v>
      </c>
      <c r="K42" s="18">
        <v>12</v>
      </c>
      <c r="L42" s="20">
        <v>14</v>
      </c>
      <c r="M42" s="18">
        <v>12</v>
      </c>
      <c r="N42" s="21">
        <f t="shared" si="0"/>
        <v>61</v>
      </c>
      <c r="O42" s="22" t="s">
        <v>60</v>
      </c>
      <c r="P42" s="22" t="s">
        <v>144</v>
      </c>
      <c r="Q42" s="22" t="s">
        <v>62</v>
      </c>
      <c r="R42" s="22" t="s">
        <v>63</v>
      </c>
      <c r="S42" s="22" t="s">
        <v>255</v>
      </c>
      <c r="T42" s="22" t="s">
        <v>256</v>
      </c>
      <c r="U42" s="22" t="s">
        <v>257</v>
      </c>
    </row>
    <row r="43" ht="46" customHeight="1" spans="1:21">
      <c r="A43" s="15">
        <v>40</v>
      </c>
      <c r="B43" s="16" t="s">
        <v>258</v>
      </c>
      <c r="C43" s="17" t="s">
        <v>259</v>
      </c>
      <c r="D43" s="15" t="s">
        <v>260</v>
      </c>
      <c r="E43" s="15">
        <v>29</v>
      </c>
      <c r="F43" s="15">
        <v>40</v>
      </c>
      <c r="G43" s="15">
        <v>1360</v>
      </c>
      <c r="H43" s="14" t="s">
        <v>241</v>
      </c>
      <c r="I43" s="18">
        <v>10</v>
      </c>
      <c r="J43" s="20">
        <v>15</v>
      </c>
      <c r="K43" s="18">
        <v>7</v>
      </c>
      <c r="L43" s="18">
        <v>10</v>
      </c>
      <c r="M43" s="18">
        <v>10</v>
      </c>
      <c r="N43" s="21">
        <f t="shared" si="0"/>
        <v>52</v>
      </c>
      <c r="O43" s="23" t="s">
        <v>60</v>
      </c>
      <c r="P43" s="23" t="s">
        <v>104</v>
      </c>
      <c r="Q43" s="23" t="s">
        <v>62</v>
      </c>
      <c r="R43" s="23" t="s">
        <v>63</v>
      </c>
      <c r="S43" s="23" t="s">
        <v>261</v>
      </c>
      <c r="T43" s="23" t="s">
        <v>262</v>
      </c>
      <c r="U43" s="23" t="s">
        <v>263</v>
      </c>
    </row>
    <row r="44" ht="46" customHeight="1" spans="1:21">
      <c r="A44" s="11">
        <v>41</v>
      </c>
      <c r="B44" s="12" t="s">
        <v>264</v>
      </c>
      <c r="C44" s="13" t="s">
        <v>265</v>
      </c>
      <c r="D44" s="11" t="s">
        <v>266</v>
      </c>
      <c r="E44" s="11">
        <v>27</v>
      </c>
      <c r="F44" s="11">
        <v>41</v>
      </c>
      <c r="G44" s="11">
        <v>1350</v>
      </c>
      <c r="H44" s="14" t="s">
        <v>241</v>
      </c>
      <c r="I44" s="18">
        <v>10</v>
      </c>
      <c r="J44" s="19">
        <v>17</v>
      </c>
      <c r="K44" s="18">
        <v>7</v>
      </c>
      <c r="L44" s="18">
        <v>10</v>
      </c>
      <c r="M44" s="18">
        <v>11</v>
      </c>
      <c r="N44" s="21">
        <f t="shared" si="0"/>
        <v>55</v>
      </c>
      <c r="O44" s="22" t="s">
        <v>60</v>
      </c>
      <c r="P44" s="22" t="s">
        <v>77</v>
      </c>
      <c r="Q44" s="22" t="s">
        <v>62</v>
      </c>
      <c r="R44" s="22" t="s">
        <v>63</v>
      </c>
      <c r="S44" s="22" t="s">
        <v>267</v>
      </c>
      <c r="T44" s="22" t="s">
        <v>268</v>
      </c>
      <c r="U44" s="22" t="s">
        <v>269</v>
      </c>
    </row>
    <row r="45" ht="46" customHeight="1" spans="1:21">
      <c r="A45" s="15">
        <v>42</v>
      </c>
      <c r="B45" s="16" t="s">
        <v>270</v>
      </c>
      <c r="C45" s="17" t="s">
        <v>74</v>
      </c>
      <c r="D45" s="15" t="s">
        <v>75</v>
      </c>
      <c r="E45" s="15">
        <v>24</v>
      </c>
      <c r="F45" s="15">
        <v>42</v>
      </c>
      <c r="G45" s="15">
        <v>1340</v>
      </c>
      <c r="H45" s="14" t="s">
        <v>241</v>
      </c>
      <c r="I45" s="18">
        <v>10</v>
      </c>
      <c r="J45" s="19">
        <v>19</v>
      </c>
      <c r="K45" s="18">
        <v>7</v>
      </c>
      <c r="L45" s="18">
        <v>10</v>
      </c>
      <c r="M45" s="18">
        <v>12</v>
      </c>
      <c r="N45" s="21">
        <f t="shared" si="0"/>
        <v>58</v>
      </c>
      <c r="O45" s="23" t="s">
        <v>60</v>
      </c>
      <c r="P45" s="23" t="s">
        <v>69</v>
      </c>
      <c r="Q45" s="23" t="s">
        <v>62</v>
      </c>
      <c r="R45" s="23" t="s">
        <v>63</v>
      </c>
      <c r="S45" s="23" t="s">
        <v>271</v>
      </c>
      <c r="T45" s="23" t="s">
        <v>272</v>
      </c>
      <c r="U45" s="23" t="s">
        <v>273</v>
      </c>
    </row>
    <row r="46" ht="46" customHeight="1" spans="1:21">
      <c r="A46" s="11">
        <v>43</v>
      </c>
      <c r="B46" s="12" t="s">
        <v>274</v>
      </c>
      <c r="C46" s="13" t="s">
        <v>156</v>
      </c>
      <c r="D46" s="11" t="s">
        <v>157</v>
      </c>
      <c r="E46" s="11">
        <v>23</v>
      </c>
      <c r="F46" s="11">
        <v>43</v>
      </c>
      <c r="G46" s="11">
        <v>1300</v>
      </c>
      <c r="H46" s="14" t="s">
        <v>241</v>
      </c>
      <c r="I46" s="18">
        <v>10</v>
      </c>
      <c r="J46" s="19">
        <v>19</v>
      </c>
      <c r="K46" s="18">
        <v>7</v>
      </c>
      <c r="L46" s="18">
        <v>9</v>
      </c>
      <c r="M46" s="18">
        <v>11</v>
      </c>
      <c r="N46" s="21">
        <f t="shared" si="0"/>
        <v>56</v>
      </c>
      <c r="O46" s="22" t="s">
        <v>60</v>
      </c>
      <c r="P46" s="22" t="s">
        <v>97</v>
      </c>
      <c r="Q46" s="22" t="s">
        <v>62</v>
      </c>
      <c r="R46" s="22" t="s">
        <v>63</v>
      </c>
      <c r="S46" s="22" t="s">
        <v>275</v>
      </c>
      <c r="T46" s="22" t="s">
        <v>276</v>
      </c>
      <c r="U46" s="22" t="s">
        <v>277</v>
      </c>
    </row>
    <row r="47" ht="46" customHeight="1" spans="1:21">
      <c r="A47" s="15">
        <v>44</v>
      </c>
      <c r="B47" s="16" t="s">
        <v>278</v>
      </c>
      <c r="C47" s="17" t="s">
        <v>35</v>
      </c>
      <c r="D47" s="15" t="s">
        <v>36</v>
      </c>
      <c r="E47" s="15">
        <v>24</v>
      </c>
      <c r="F47" s="15">
        <v>44</v>
      </c>
      <c r="G47" s="15">
        <v>1280</v>
      </c>
      <c r="H47" s="14" t="s">
        <v>241</v>
      </c>
      <c r="I47" s="18">
        <v>10</v>
      </c>
      <c r="J47" s="19">
        <v>19</v>
      </c>
      <c r="K47" s="18">
        <v>7</v>
      </c>
      <c r="L47" s="18">
        <v>10</v>
      </c>
      <c r="M47" s="18">
        <v>12</v>
      </c>
      <c r="N47" s="21">
        <f t="shared" si="0"/>
        <v>58</v>
      </c>
      <c r="O47" s="23" t="s">
        <v>60</v>
      </c>
      <c r="P47" s="23" t="s">
        <v>69</v>
      </c>
      <c r="Q47" s="23" t="s">
        <v>62</v>
      </c>
      <c r="R47" s="23" t="s">
        <v>63</v>
      </c>
      <c r="S47" s="23" t="s">
        <v>279</v>
      </c>
      <c r="T47" s="23" t="s">
        <v>280</v>
      </c>
      <c r="U47" s="23" t="s">
        <v>281</v>
      </c>
    </row>
    <row r="48" ht="46" customHeight="1" spans="1:21">
      <c r="A48" s="11">
        <v>45</v>
      </c>
      <c r="B48" s="12" t="s">
        <v>282</v>
      </c>
      <c r="C48" s="13" t="s">
        <v>156</v>
      </c>
      <c r="D48" s="11" t="s">
        <v>157</v>
      </c>
      <c r="E48" s="11">
        <v>23</v>
      </c>
      <c r="F48" s="11">
        <v>45</v>
      </c>
      <c r="G48" s="11">
        <v>1260</v>
      </c>
      <c r="H48" s="14" t="s">
        <v>241</v>
      </c>
      <c r="I48" s="18">
        <v>10</v>
      </c>
      <c r="J48" s="19">
        <v>19</v>
      </c>
      <c r="K48" s="18">
        <v>7</v>
      </c>
      <c r="L48" s="18">
        <v>8</v>
      </c>
      <c r="M48" s="18">
        <v>11</v>
      </c>
      <c r="N48" s="21">
        <f t="shared" si="0"/>
        <v>55</v>
      </c>
      <c r="O48" s="22" t="s">
        <v>60</v>
      </c>
      <c r="P48" s="22" t="s">
        <v>97</v>
      </c>
      <c r="Q48" s="22" t="s">
        <v>62</v>
      </c>
      <c r="R48" s="22" t="s">
        <v>63</v>
      </c>
      <c r="S48" s="22" t="s">
        <v>283</v>
      </c>
      <c r="T48" s="22" t="s">
        <v>284</v>
      </c>
      <c r="U48" s="22" t="s">
        <v>285</v>
      </c>
    </row>
    <row r="49" ht="46" customHeight="1" spans="1:21">
      <c r="A49" s="15">
        <v>46</v>
      </c>
      <c r="B49" s="16" t="s">
        <v>286</v>
      </c>
      <c r="C49" s="17" t="s">
        <v>74</v>
      </c>
      <c r="D49" s="15" t="s">
        <v>75</v>
      </c>
      <c r="E49" s="15">
        <v>30</v>
      </c>
      <c r="F49" s="15">
        <v>46</v>
      </c>
      <c r="G49" s="15">
        <v>1240</v>
      </c>
      <c r="H49" s="14" t="s">
        <v>76</v>
      </c>
      <c r="I49" s="18">
        <v>8</v>
      </c>
      <c r="J49" s="20">
        <v>14</v>
      </c>
      <c r="K49" s="18">
        <v>11</v>
      </c>
      <c r="L49" s="19">
        <v>17</v>
      </c>
      <c r="M49" s="18">
        <v>10</v>
      </c>
      <c r="N49" s="21">
        <f t="shared" si="0"/>
        <v>60</v>
      </c>
      <c r="O49" s="23" t="s">
        <v>60</v>
      </c>
      <c r="P49" s="23" t="s">
        <v>180</v>
      </c>
      <c r="Q49" s="23" t="s">
        <v>62</v>
      </c>
      <c r="R49" s="23" t="s">
        <v>63</v>
      </c>
      <c r="S49" s="23" t="s">
        <v>287</v>
      </c>
      <c r="T49" s="23" t="s">
        <v>288</v>
      </c>
      <c r="U49" s="23" t="s">
        <v>289</v>
      </c>
    </row>
    <row r="50" ht="46" customHeight="1" spans="1:21">
      <c r="A50" s="11">
        <v>47</v>
      </c>
      <c r="B50" s="12" t="s">
        <v>290</v>
      </c>
      <c r="C50" s="13" t="s">
        <v>196</v>
      </c>
      <c r="D50" s="11" t="s">
        <v>197</v>
      </c>
      <c r="E50" s="11">
        <v>27</v>
      </c>
      <c r="F50" s="11">
        <v>47</v>
      </c>
      <c r="G50" s="11">
        <v>1230</v>
      </c>
      <c r="H50" s="14" t="s">
        <v>241</v>
      </c>
      <c r="I50" s="18">
        <v>10</v>
      </c>
      <c r="J50" s="19">
        <v>17</v>
      </c>
      <c r="K50" s="18">
        <v>7</v>
      </c>
      <c r="L50" s="18">
        <v>10</v>
      </c>
      <c r="M50" s="18">
        <v>11</v>
      </c>
      <c r="N50" s="21">
        <f t="shared" si="0"/>
        <v>55</v>
      </c>
      <c r="O50" s="22" t="s">
        <v>60</v>
      </c>
      <c r="P50" s="22" t="s">
        <v>77</v>
      </c>
      <c r="Q50" s="22" t="s">
        <v>62</v>
      </c>
      <c r="R50" s="22" t="s">
        <v>63</v>
      </c>
      <c r="S50" s="22" t="s">
        <v>291</v>
      </c>
      <c r="T50" s="22" t="s">
        <v>292</v>
      </c>
      <c r="U50" s="22" t="s">
        <v>293</v>
      </c>
    </row>
    <row r="51" ht="46" customHeight="1" spans="1:21">
      <c r="A51" s="15">
        <v>48</v>
      </c>
      <c r="B51" s="16" t="s">
        <v>294</v>
      </c>
      <c r="C51" s="17" t="s">
        <v>156</v>
      </c>
      <c r="D51" s="15" t="s">
        <v>157</v>
      </c>
      <c r="E51" s="15">
        <v>24</v>
      </c>
      <c r="F51" s="15">
        <v>48</v>
      </c>
      <c r="G51" s="15">
        <v>1220</v>
      </c>
      <c r="H51" s="14" t="s">
        <v>241</v>
      </c>
      <c r="I51" s="18">
        <v>10</v>
      </c>
      <c r="J51" s="19">
        <v>19</v>
      </c>
      <c r="K51" s="18">
        <v>7</v>
      </c>
      <c r="L51" s="18">
        <v>8</v>
      </c>
      <c r="M51" s="18">
        <v>12</v>
      </c>
      <c r="N51" s="21">
        <f t="shared" si="0"/>
        <v>56</v>
      </c>
      <c r="O51" s="23" t="s">
        <v>60</v>
      </c>
      <c r="P51" s="23" t="s">
        <v>69</v>
      </c>
      <c r="Q51" s="23" t="s">
        <v>62</v>
      </c>
      <c r="R51" s="23" t="s">
        <v>63</v>
      </c>
      <c r="S51" s="23" t="s">
        <v>295</v>
      </c>
      <c r="T51" s="23" t="s">
        <v>296</v>
      </c>
      <c r="U51" s="23" t="s">
        <v>297</v>
      </c>
    </row>
    <row r="52" ht="46" customHeight="1" spans="1:21">
      <c r="A52" s="11">
        <v>49</v>
      </c>
      <c r="B52" s="12" t="s">
        <v>298</v>
      </c>
      <c r="C52" s="13" t="s">
        <v>82</v>
      </c>
      <c r="D52" s="11" t="s">
        <v>83</v>
      </c>
      <c r="E52" s="11">
        <v>22</v>
      </c>
      <c r="F52" s="11">
        <v>49</v>
      </c>
      <c r="G52" s="11">
        <v>1210</v>
      </c>
      <c r="H52" s="14" t="s">
        <v>241</v>
      </c>
      <c r="I52" s="18">
        <v>10</v>
      </c>
      <c r="J52" s="19">
        <v>20</v>
      </c>
      <c r="K52" s="18">
        <v>6</v>
      </c>
      <c r="L52" s="18">
        <v>10</v>
      </c>
      <c r="M52" s="18">
        <v>11</v>
      </c>
      <c r="N52" s="21">
        <f t="shared" si="0"/>
        <v>57</v>
      </c>
      <c r="O52" s="22" t="s">
        <v>60</v>
      </c>
      <c r="P52" s="22" t="s">
        <v>151</v>
      </c>
      <c r="Q52" s="22" t="s">
        <v>62</v>
      </c>
      <c r="R52" s="22" t="s">
        <v>63</v>
      </c>
      <c r="S52" s="22" t="s">
        <v>299</v>
      </c>
      <c r="T52" s="22" t="s">
        <v>300</v>
      </c>
      <c r="U52" s="22" t="s">
        <v>301</v>
      </c>
    </row>
    <row r="53" ht="46" customHeight="1" spans="1:21">
      <c r="A53" s="15">
        <v>50</v>
      </c>
      <c r="B53" s="16" t="s">
        <v>302</v>
      </c>
      <c r="C53" s="17" t="s">
        <v>303</v>
      </c>
      <c r="D53" s="15" t="s">
        <v>304</v>
      </c>
      <c r="E53" s="15">
        <v>40</v>
      </c>
      <c r="F53" s="15">
        <v>50</v>
      </c>
      <c r="G53" s="15">
        <v>1200</v>
      </c>
      <c r="H53" s="14" t="s">
        <v>125</v>
      </c>
      <c r="I53" s="18">
        <v>10</v>
      </c>
      <c r="J53" s="18">
        <v>5</v>
      </c>
      <c r="K53" s="20">
        <v>14</v>
      </c>
      <c r="L53" s="18">
        <v>12</v>
      </c>
      <c r="M53" s="18">
        <v>8</v>
      </c>
      <c r="N53" s="21">
        <f t="shared" si="0"/>
        <v>49</v>
      </c>
      <c r="O53" s="23" t="s">
        <v>60</v>
      </c>
      <c r="P53" s="23" t="s">
        <v>305</v>
      </c>
      <c r="Q53" s="23" t="s">
        <v>306</v>
      </c>
      <c r="R53" s="23" t="s">
        <v>63</v>
      </c>
      <c r="S53" s="23" t="s">
        <v>307</v>
      </c>
      <c r="T53" s="23" t="s">
        <v>308</v>
      </c>
      <c r="U53" s="23" t="s">
        <v>309</v>
      </c>
    </row>
  </sheetData>
  <mergeCells count="2">
    <mergeCell ref="A1:U1"/>
    <mergeCell ref="A2:U2"/>
  </mergeCells>
  <conditionalFormatting sqref="N4:N53">
    <cfRule type="colorScale" priority="1">
      <colorScale>
        <cfvo type="min"/>
        <cfvo type="percentile" val="50"/>
        <cfvo type="max"/>
        <color rgb="FFFFE0E0"/>
        <color rgb="FFFFFACC"/>
        <color rgb="FFC8E6C0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3A0F"/>
  </sheetPr>
  <dimension ref="A1:U53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1" sqref="A1:U1"/>
    </sheetView>
  </sheetViews>
  <sheetFormatPr defaultColWidth="9" defaultRowHeight="14.4"/>
  <cols>
    <col min="1" max="1" width="5" customWidth="1"/>
    <col min="2" max="2" width="24" customWidth="1"/>
    <col min="3" max="3" width="12" customWidth="1"/>
    <col min="4" max="5" width="5" customWidth="1"/>
    <col min="6" max="6" width="7" customWidth="1"/>
    <col min="7" max="7" width="9" customWidth="1"/>
    <col min="8" max="8" width="8" customWidth="1"/>
    <col min="9" max="10" width="10" customWidth="1"/>
    <col min="11" max="11" width="12" customWidth="1"/>
    <col min="12" max="14" width="10" customWidth="1"/>
    <col min="15" max="15" width="28" customWidth="1"/>
    <col min="16" max="19" width="22" customWidth="1"/>
    <col min="20" max="21" width="34" customWidth="1"/>
  </cols>
  <sheetData>
    <row r="1" ht="24" customHeight="1" spans="1:1">
      <c r="A1" s="1" t="s">
        <v>310</v>
      </c>
    </row>
    <row r="2" ht="14" customHeight="1" spans="1:1">
      <c r="A2" s="9" t="s">
        <v>1</v>
      </c>
    </row>
    <row r="3" ht="34" customHeight="1" spans="1:21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0" t="s">
        <v>21</v>
      </c>
      <c r="U3" s="10" t="s">
        <v>22</v>
      </c>
    </row>
    <row r="4" ht="46" customHeight="1" spans="1:21">
      <c r="A4" s="11">
        <v>1</v>
      </c>
      <c r="B4" s="12" t="s">
        <v>311</v>
      </c>
      <c r="C4" s="13" t="s">
        <v>312</v>
      </c>
      <c r="D4" s="11" t="s">
        <v>313</v>
      </c>
      <c r="E4" s="11">
        <v>27</v>
      </c>
      <c r="F4" s="11">
        <v>1</v>
      </c>
      <c r="G4" s="11">
        <v>9186</v>
      </c>
      <c r="H4" s="14" t="s">
        <v>314</v>
      </c>
      <c r="I4" s="18">
        <v>12</v>
      </c>
      <c r="J4" s="19">
        <v>18</v>
      </c>
      <c r="K4" s="20">
        <v>16</v>
      </c>
      <c r="L4" s="19">
        <v>17</v>
      </c>
      <c r="M4" s="19">
        <v>17</v>
      </c>
      <c r="N4" s="21">
        <f t="shared" ref="N4:N53" si="0">SUM(I4:M4)</f>
        <v>80</v>
      </c>
      <c r="O4" s="22" t="s">
        <v>315</v>
      </c>
      <c r="P4" s="22" t="s">
        <v>77</v>
      </c>
      <c r="Q4" s="22" t="s">
        <v>316</v>
      </c>
      <c r="R4" s="22" t="s">
        <v>63</v>
      </c>
      <c r="S4" s="22" t="s">
        <v>317</v>
      </c>
      <c r="T4" s="22" t="s">
        <v>318</v>
      </c>
      <c r="U4" s="22" t="s">
        <v>319</v>
      </c>
    </row>
    <row r="5" ht="46" customHeight="1" spans="1:21">
      <c r="A5" s="15">
        <v>2</v>
      </c>
      <c r="B5" s="16" t="s">
        <v>320</v>
      </c>
      <c r="C5" s="17" t="s">
        <v>110</v>
      </c>
      <c r="D5" s="15" t="s">
        <v>111</v>
      </c>
      <c r="E5" s="15">
        <v>26</v>
      </c>
      <c r="F5" s="15">
        <v>2</v>
      </c>
      <c r="G5" s="15">
        <v>7630</v>
      </c>
      <c r="H5" s="14" t="s">
        <v>321</v>
      </c>
      <c r="I5" s="20">
        <v>15</v>
      </c>
      <c r="J5" s="19">
        <v>18</v>
      </c>
      <c r="K5" s="20">
        <v>14</v>
      </c>
      <c r="L5" s="19">
        <v>20</v>
      </c>
      <c r="M5" s="20">
        <v>13</v>
      </c>
      <c r="N5" s="21">
        <f t="shared" si="0"/>
        <v>80</v>
      </c>
      <c r="O5" s="23" t="s">
        <v>322</v>
      </c>
      <c r="P5" s="23" t="s">
        <v>144</v>
      </c>
      <c r="Q5" s="23" t="s">
        <v>323</v>
      </c>
      <c r="R5" s="23" t="s">
        <v>324</v>
      </c>
      <c r="S5" s="23" t="s">
        <v>325</v>
      </c>
      <c r="T5" s="23" t="s">
        <v>326</v>
      </c>
      <c r="U5" s="23" t="s">
        <v>327</v>
      </c>
    </row>
    <row r="6" ht="46" customHeight="1" spans="1:21">
      <c r="A6" s="11">
        <v>3</v>
      </c>
      <c r="B6" s="12" t="s">
        <v>328</v>
      </c>
      <c r="C6" s="13" t="s">
        <v>329</v>
      </c>
      <c r="D6" s="11" t="s">
        <v>330</v>
      </c>
      <c r="E6" s="11">
        <v>24</v>
      </c>
      <c r="F6" s="11">
        <v>3</v>
      </c>
      <c r="G6" s="11">
        <v>7020</v>
      </c>
      <c r="H6" s="14" t="s">
        <v>314</v>
      </c>
      <c r="I6" s="20">
        <v>16</v>
      </c>
      <c r="J6" s="19">
        <v>19</v>
      </c>
      <c r="K6" s="19">
        <v>18</v>
      </c>
      <c r="L6" s="20">
        <v>15</v>
      </c>
      <c r="M6" s="20">
        <v>16</v>
      </c>
      <c r="N6" s="21">
        <f t="shared" si="0"/>
        <v>84</v>
      </c>
      <c r="O6" s="22" t="s">
        <v>331</v>
      </c>
      <c r="P6" s="22" t="s">
        <v>69</v>
      </c>
      <c r="Q6" s="22" t="s">
        <v>332</v>
      </c>
      <c r="R6" s="22" t="s">
        <v>333</v>
      </c>
      <c r="S6" s="22" t="s">
        <v>334</v>
      </c>
      <c r="T6" s="22" t="s">
        <v>335</v>
      </c>
      <c r="U6" s="22" t="s">
        <v>336</v>
      </c>
    </row>
    <row r="7" ht="46" customHeight="1" spans="1:21">
      <c r="A7" s="15">
        <v>4</v>
      </c>
      <c r="B7" s="16" t="s">
        <v>337</v>
      </c>
      <c r="C7" s="17" t="s">
        <v>82</v>
      </c>
      <c r="D7" s="15" t="s">
        <v>83</v>
      </c>
      <c r="E7" s="15">
        <v>21</v>
      </c>
      <c r="F7" s="15">
        <v>4</v>
      </c>
      <c r="G7" s="15">
        <v>6390</v>
      </c>
      <c r="H7" s="14" t="s">
        <v>321</v>
      </c>
      <c r="I7" s="20">
        <v>13</v>
      </c>
      <c r="J7" s="19">
        <v>20</v>
      </c>
      <c r="K7" s="20">
        <v>16</v>
      </c>
      <c r="L7" s="20">
        <v>13</v>
      </c>
      <c r="M7" s="20">
        <v>15</v>
      </c>
      <c r="N7" s="21">
        <f t="shared" si="0"/>
        <v>77</v>
      </c>
      <c r="O7" s="23" t="s">
        <v>338</v>
      </c>
      <c r="P7" s="23" t="s">
        <v>339</v>
      </c>
      <c r="Q7" s="23" t="s">
        <v>340</v>
      </c>
      <c r="R7" s="23" t="s">
        <v>63</v>
      </c>
      <c r="S7" s="23" t="s">
        <v>341</v>
      </c>
      <c r="T7" s="23" t="s">
        <v>342</v>
      </c>
      <c r="U7" s="23" t="s">
        <v>343</v>
      </c>
    </row>
    <row r="8" ht="46" customHeight="1" spans="1:21">
      <c r="A8" s="11">
        <v>5</v>
      </c>
      <c r="B8" s="12" t="s">
        <v>344</v>
      </c>
      <c r="C8" s="13" t="s">
        <v>82</v>
      </c>
      <c r="D8" s="11" t="s">
        <v>83</v>
      </c>
      <c r="E8" s="11">
        <v>31</v>
      </c>
      <c r="F8" s="11">
        <v>5</v>
      </c>
      <c r="G8" s="11">
        <v>5830</v>
      </c>
      <c r="H8" s="14" t="s">
        <v>84</v>
      </c>
      <c r="I8" s="18">
        <v>5</v>
      </c>
      <c r="J8" s="20">
        <v>13</v>
      </c>
      <c r="K8" s="18">
        <v>12</v>
      </c>
      <c r="L8" s="20">
        <v>13</v>
      </c>
      <c r="M8" s="20">
        <v>14</v>
      </c>
      <c r="N8" s="21">
        <f t="shared" si="0"/>
        <v>57</v>
      </c>
      <c r="O8" s="22" t="s">
        <v>60</v>
      </c>
      <c r="P8" s="22" t="s">
        <v>345</v>
      </c>
      <c r="Q8" s="22" t="s">
        <v>62</v>
      </c>
      <c r="R8" s="22" t="s">
        <v>63</v>
      </c>
      <c r="S8" s="22" t="s">
        <v>346</v>
      </c>
      <c r="T8" s="22" t="s">
        <v>347</v>
      </c>
      <c r="U8" s="22" t="s">
        <v>348</v>
      </c>
    </row>
    <row r="9" ht="46" customHeight="1" spans="1:21">
      <c r="A9" s="15">
        <v>6</v>
      </c>
      <c r="B9" s="16" t="s">
        <v>349</v>
      </c>
      <c r="C9" s="17" t="s">
        <v>82</v>
      </c>
      <c r="D9" s="15" t="s">
        <v>83</v>
      </c>
      <c r="E9" s="15">
        <v>23</v>
      </c>
      <c r="F9" s="15">
        <v>6</v>
      </c>
      <c r="G9" s="15">
        <v>5550</v>
      </c>
      <c r="H9" s="14" t="s">
        <v>68</v>
      </c>
      <c r="I9" s="18">
        <v>9</v>
      </c>
      <c r="J9" s="19">
        <v>18</v>
      </c>
      <c r="K9" s="20">
        <v>14</v>
      </c>
      <c r="L9" s="20">
        <v>15</v>
      </c>
      <c r="M9" s="20">
        <v>16</v>
      </c>
      <c r="N9" s="21">
        <f t="shared" si="0"/>
        <v>72</v>
      </c>
      <c r="O9" s="23" t="s">
        <v>60</v>
      </c>
      <c r="P9" s="23" t="s">
        <v>97</v>
      </c>
      <c r="Q9" s="23" t="s">
        <v>62</v>
      </c>
      <c r="R9" s="23" t="s">
        <v>63</v>
      </c>
      <c r="S9" s="23" t="s">
        <v>350</v>
      </c>
      <c r="T9" s="23" t="s">
        <v>351</v>
      </c>
      <c r="U9" s="23" t="s">
        <v>352</v>
      </c>
    </row>
    <row r="10" ht="46" customHeight="1" spans="1:21">
      <c r="A10" s="11">
        <v>7</v>
      </c>
      <c r="B10" s="12" t="s">
        <v>353</v>
      </c>
      <c r="C10" s="13" t="s">
        <v>35</v>
      </c>
      <c r="D10" s="11" t="s">
        <v>36</v>
      </c>
      <c r="E10" s="11">
        <v>29</v>
      </c>
      <c r="F10" s="11">
        <v>7</v>
      </c>
      <c r="G10" s="11">
        <v>5100</v>
      </c>
      <c r="H10" s="14" t="s">
        <v>191</v>
      </c>
      <c r="I10" s="18">
        <v>5</v>
      </c>
      <c r="J10" s="20">
        <v>16</v>
      </c>
      <c r="K10" s="20">
        <v>14</v>
      </c>
      <c r="L10" s="18">
        <v>12</v>
      </c>
      <c r="M10" s="20">
        <v>13</v>
      </c>
      <c r="N10" s="21">
        <f t="shared" si="0"/>
        <v>60</v>
      </c>
      <c r="O10" s="22" t="s">
        <v>60</v>
      </c>
      <c r="P10" s="22" t="s">
        <v>104</v>
      </c>
      <c r="Q10" s="22" t="s">
        <v>62</v>
      </c>
      <c r="R10" s="22" t="s">
        <v>63</v>
      </c>
      <c r="S10" s="22" t="s">
        <v>354</v>
      </c>
      <c r="T10" s="22" t="s">
        <v>355</v>
      </c>
      <c r="U10" s="22" t="s">
        <v>356</v>
      </c>
    </row>
    <row r="11" ht="46" customHeight="1" spans="1:21">
      <c r="A11" s="15">
        <v>8</v>
      </c>
      <c r="B11" s="16" t="s">
        <v>357</v>
      </c>
      <c r="C11" s="17" t="s">
        <v>358</v>
      </c>
      <c r="D11" s="15" t="s">
        <v>359</v>
      </c>
      <c r="E11" s="15">
        <v>29</v>
      </c>
      <c r="F11" s="15">
        <v>8</v>
      </c>
      <c r="G11" s="15">
        <v>4890</v>
      </c>
      <c r="H11" s="14" t="s">
        <v>76</v>
      </c>
      <c r="I11" s="18">
        <v>5</v>
      </c>
      <c r="J11" s="20">
        <v>15</v>
      </c>
      <c r="K11" s="20">
        <v>13</v>
      </c>
      <c r="L11" s="18">
        <v>11</v>
      </c>
      <c r="M11" s="18">
        <v>12</v>
      </c>
      <c r="N11" s="21">
        <f t="shared" si="0"/>
        <v>56</v>
      </c>
      <c r="O11" s="23" t="s">
        <v>60</v>
      </c>
      <c r="P11" s="23" t="s">
        <v>104</v>
      </c>
      <c r="Q11" s="23" t="s">
        <v>62</v>
      </c>
      <c r="R11" s="23" t="s">
        <v>63</v>
      </c>
      <c r="S11" s="23" t="s">
        <v>360</v>
      </c>
      <c r="T11" s="23" t="s">
        <v>361</v>
      </c>
      <c r="U11" s="23" t="s">
        <v>362</v>
      </c>
    </row>
    <row r="12" ht="46" customHeight="1" spans="1:21">
      <c r="A12" s="11">
        <v>9</v>
      </c>
      <c r="B12" s="12" t="s">
        <v>363</v>
      </c>
      <c r="C12" s="13" t="s">
        <v>89</v>
      </c>
      <c r="D12" s="11" t="s">
        <v>90</v>
      </c>
      <c r="E12" s="11">
        <v>19</v>
      </c>
      <c r="F12" s="11">
        <v>9</v>
      </c>
      <c r="G12" s="11">
        <v>4620</v>
      </c>
      <c r="H12" s="14" t="s">
        <v>125</v>
      </c>
      <c r="I12" s="18">
        <v>10</v>
      </c>
      <c r="J12" s="19">
        <v>20</v>
      </c>
      <c r="K12" s="18">
        <v>9</v>
      </c>
      <c r="L12" s="18">
        <v>12</v>
      </c>
      <c r="M12" s="20">
        <v>15</v>
      </c>
      <c r="N12" s="21">
        <f t="shared" si="0"/>
        <v>66</v>
      </c>
      <c r="O12" s="22" t="s">
        <v>60</v>
      </c>
      <c r="P12" s="22" t="s">
        <v>364</v>
      </c>
      <c r="Q12" s="22" t="s">
        <v>62</v>
      </c>
      <c r="R12" s="22" t="s">
        <v>63</v>
      </c>
      <c r="S12" s="22" t="s">
        <v>365</v>
      </c>
      <c r="T12" s="22" t="s">
        <v>366</v>
      </c>
      <c r="U12" s="22" t="s">
        <v>367</v>
      </c>
    </row>
    <row r="13" ht="46" customHeight="1" spans="1:21">
      <c r="A13" s="15">
        <v>10</v>
      </c>
      <c r="B13" s="16" t="s">
        <v>368</v>
      </c>
      <c r="C13" s="17" t="s">
        <v>102</v>
      </c>
      <c r="D13" s="15" t="s">
        <v>103</v>
      </c>
      <c r="E13" s="15">
        <v>18</v>
      </c>
      <c r="F13" s="15">
        <v>10</v>
      </c>
      <c r="G13" s="15">
        <v>4500</v>
      </c>
      <c r="H13" s="14" t="s">
        <v>59</v>
      </c>
      <c r="I13" s="18">
        <v>5</v>
      </c>
      <c r="J13" s="19">
        <v>20</v>
      </c>
      <c r="K13" s="18">
        <v>12</v>
      </c>
      <c r="L13" s="20">
        <v>13</v>
      </c>
      <c r="M13" s="19">
        <v>17</v>
      </c>
      <c r="N13" s="21">
        <f t="shared" si="0"/>
        <v>67</v>
      </c>
      <c r="O13" s="23" t="s">
        <v>60</v>
      </c>
      <c r="P13" s="23" t="s">
        <v>232</v>
      </c>
      <c r="Q13" s="23" t="s">
        <v>62</v>
      </c>
      <c r="R13" s="23" t="s">
        <v>63</v>
      </c>
      <c r="S13" s="23" t="s">
        <v>369</v>
      </c>
      <c r="T13" s="23" t="s">
        <v>370</v>
      </c>
      <c r="U13" s="23" t="s">
        <v>371</v>
      </c>
    </row>
    <row r="14" ht="46" customHeight="1" spans="1:21">
      <c r="A14" s="11">
        <v>11</v>
      </c>
      <c r="B14" s="12" t="s">
        <v>372</v>
      </c>
      <c r="C14" s="13" t="s">
        <v>102</v>
      </c>
      <c r="D14" s="11" t="s">
        <v>103</v>
      </c>
      <c r="E14" s="11">
        <v>29</v>
      </c>
      <c r="F14" s="11">
        <v>11</v>
      </c>
      <c r="G14" s="11">
        <v>3980</v>
      </c>
      <c r="H14" s="14" t="s">
        <v>112</v>
      </c>
      <c r="I14" s="18">
        <v>10</v>
      </c>
      <c r="J14" s="20">
        <v>15</v>
      </c>
      <c r="K14" s="18">
        <v>9</v>
      </c>
      <c r="L14" s="18">
        <v>11</v>
      </c>
      <c r="M14" s="18">
        <v>11</v>
      </c>
      <c r="N14" s="21">
        <f t="shared" si="0"/>
        <v>56</v>
      </c>
      <c r="O14" s="22" t="s">
        <v>60</v>
      </c>
      <c r="P14" s="22" t="s">
        <v>104</v>
      </c>
      <c r="Q14" s="22" t="s">
        <v>62</v>
      </c>
      <c r="R14" s="22" t="s">
        <v>63</v>
      </c>
      <c r="S14" s="22" t="s">
        <v>373</v>
      </c>
      <c r="T14" s="22" t="s">
        <v>374</v>
      </c>
      <c r="U14" s="22" t="s">
        <v>375</v>
      </c>
    </row>
    <row r="15" ht="46" customHeight="1" spans="1:21">
      <c r="A15" s="15">
        <v>12</v>
      </c>
      <c r="B15" s="16" t="s">
        <v>376</v>
      </c>
      <c r="C15" s="17" t="s">
        <v>303</v>
      </c>
      <c r="D15" s="15" t="s">
        <v>304</v>
      </c>
      <c r="E15" s="15">
        <v>28</v>
      </c>
      <c r="F15" s="15">
        <v>12</v>
      </c>
      <c r="G15" s="15">
        <v>3760</v>
      </c>
      <c r="H15" s="14" t="s">
        <v>91</v>
      </c>
      <c r="I15" s="18">
        <v>5</v>
      </c>
      <c r="J15" s="19">
        <v>17</v>
      </c>
      <c r="K15" s="18">
        <v>11</v>
      </c>
      <c r="L15" s="18">
        <v>12</v>
      </c>
      <c r="M15" s="18">
        <v>12</v>
      </c>
      <c r="N15" s="21">
        <f t="shared" si="0"/>
        <v>57</v>
      </c>
      <c r="O15" s="23" t="s">
        <v>60</v>
      </c>
      <c r="P15" s="23" t="s">
        <v>61</v>
      </c>
      <c r="Q15" s="23" t="s">
        <v>62</v>
      </c>
      <c r="R15" s="23" t="s">
        <v>63</v>
      </c>
      <c r="S15" s="23" t="s">
        <v>377</v>
      </c>
      <c r="T15" s="23" t="s">
        <v>378</v>
      </c>
      <c r="U15" s="23" t="s">
        <v>379</v>
      </c>
    </row>
    <row r="16" ht="46" customHeight="1" spans="1:21">
      <c r="A16" s="11">
        <v>13</v>
      </c>
      <c r="B16" s="12" t="s">
        <v>380</v>
      </c>
      <c r="C16" s="13" t="s">
        <v>123</v>
      </c>
      <c r="D16" s="11" t="s">
        <v>124</v>
      </c>
      <c r="E16" s="11">
        <v>21</v>
      </c>
      <c r="F16" s="11">
        <v>13</v>
      </c>
      <c r="G16" s="11">
        <v>3540</v>
      </c>
      <c r="H16" s="14" t="s">
        <v>112</v>
      </c>
      <c r="I16" s="18">
        <v>7</v>
      </c>
      <c r="J16" s="19">
        <v>20</v>
      </c>
      <c r="K16" s="18">
        <v>11</v>
      </c>
      <c r="L16" s="20">
        <v>13</v>
      </c>
      <c r="M16" s="20">
        <v>14</v>
      </c>
      <c r="N16" s="21">
        <f t="shared" si="0"/>
        <v>65</v>
      </c>
      <c r="O16" s="22" t="s">
        <v>60</v>
      </c>
      <c r="P16" s="22" t="s">
        <v>339</v>
      </c>
      <c r="Q16" s="22" t="s">
        <v>62</v>
      </c>
      <c r="R16" s="22" t="s">
        <v>63</v>
      </c>
      <c r="S16" s="22" t="s">
        <v>381</v>
      </c>
      <c r="T16" s="22" t="s">
        <v>382</v>
      </c>
      <c r="U16" s="22" t="s">
        <v>383</v>
      </c>
    </row>
    <row r="17" ht="46" customHeight="1" spans="1:21">
      <c r="A17" s="15">
        <v>14</v>
      </c>
      <c r="B17" s="16" t="s">
        <v>384</v>
      </c>
      <c r="C17" s="17" t="s">
        <v>123</v>
      </c>
      <c r="D17" s="15" t="s">
        <v>124</v>
      </c>
      <c r="E17" s="15">
        <v>28</v>
      </c>
      <c r="F17" s="15">
        <v>14</v>
      </c>
      <c r="G17" s="15">
        <v>3380</v>
      </c>
      <c r="H17" s="14" t="s">
        <v>68</v>
      </c>
      <c r="I17" s="18">
        <v>6</v>
      </c>
      <c r="J17" s="19">
        <v>17</v>
      </c>
      <c r="K17" s="20">
        <v>13</v>
      </c>
      <c r="L17" s="20">
        <v>13</v>
      </c>
      <c r="M17" s="18">
        <v>12</v>
      </c>
      <c r="N17" s="21">
        <f t="shared" si="0"/>
        <v>61</v>
      </c>
      <c r="O17" s="23" t="s">
        <v>60</v>
      </c>
      <c r="P17" s="23" t="s">
        <v>61</v>
      </c>
      <c r="Q17" s="23" t="s">
        <v>62</v>
      </c>
      <c r="R17" s="23" t="s">
        <v>63</v>
      </c>
      <c r="S17" s="23" t="s">
        <v>385</v>
      </c>
      <c r="T17" s="23" t="s">
        <v>386</v>
      </c>
      <c r="U17" s="23" t="s">
        <v>387</v>
      </c>
    </row>
    <row r="18" ht="46" customHeight="1" spans="1:21">
      <c r="A18" s="11">
        <v>15</v>
      </c>
      <c r="B18" s="12" t="s">
        <v>388</v>
      </c>
      <c r="C18" s="13" t="s">
        <v>259</v>
      </c>
      <c r="D18" s="11" t="s">
        <v>260</v>
      </c>
      <c r="E18" s="11">
        <v>28</v>
      </c>
      <c r="F18" s="11">
        <v>15</v>
      </c>
      <c r="G18" s="11">
        <v>3200</v>
      </c>
      <c r="H18" s="14" t="s">
        <v>76</v>
      </c>
      <c r="I18" s="18">
        <v>7</v>
      </c>
      <c r="J18" s="19">
        <v>17</v>
      </c>
      <c r="K18" s="20">
        <v>14</v>
      </c>
      <c r="L18" s="18">
        <v>12</v>
      </c>
      <c r="M18" s="18">
        <v>11</v>
      </c>
      <c r="N18" s="21">
        <f t="shared" si="0"/>
        <v>61</v>
      </c>
      <c r="O18" s="22" t="s">
        <v>60</v>
      </c>
      <c r="P18" s="22" t="s">
        <v>61</v>
      </c>
      <c r="Q18" s="22" t="s">
        <v>389</v>
      </c>
      <c r="R18" s="22" t="s">
        <v>63</v>
      </c>
      <c r="S18" s="22" t="s">
        <v>390</v>
      </c>
      <c r="T18" s="22" t="s">
        <v>391</v>
      </c>
      <c r="U18" s="22" t="s">
        <v>392</v>
      </c>
    </row>
    <row r="19" ht="46" customHeight="1" spans="1:21">
      <c r="A19" s="15">
        <v>16</v>
      </c>
      <c r="B19" s="16" t="s">
        <v>393</v>
      </c>
      <c r="C19" s="17" t="s">
        <v>149</v>
      </c>
      <c r="D19" s="15" t="s">
        <v>150</v>
      </c>
      <c r="E19" s="15">
        <v>23</v>
      </c>
      <c r="F19" s="15">
        <v>16</v>
      </c>
      <c r="G19" s="15">
        <v>3050</v>
      </c>
      <c r="H19" s="14" t="s">
        <v>112</v>
      </c>
      <c r="I19" s="18">
        <v>10</v>
      </c>
      <c r="J19" s="19">
        <v>19</v>
      </c>
      <c r="K19" s="18">
        <v>10</v>
      </c>
      <c r="L19" s="20">
        <v>13</v>
      </c>
      <c r="M19" s="20">
        <v>13</v>
      </c>
      <c r="N19" s="21">
        <f t="shared" si="0"/>
        <v>65</v>
      </c>
      <c r="O19" s="23" t="s">
        <v>60</v>
      </c>
      <c r="P19" s="23" t="s">
        <v>97</v>
      </c>
      <c r="Q19" s="23" t="s">
        <v>62</v>
      </c>
      <c r="R19" s="23" t="s">
        <v>63</v>
      </c>
      <c r="S19" s="23" t="s">
        <v>394</v>
      </c>
      <c r="T19" s="23" t="s">
        <v>395</v>
      </c>
      <c r="U19" s="23" t="s">
        <v>396</v>
      </c>
    </row>
    <row r="20" ht="46" customHeight="1" spans="1:21">
      <c r="A20" s="11">
        <v>17</v>
      </c>
      <c r="B20" s="12" t="s">
        <v>397</v>
      </c>
      <c r="C20" s="13" t="s">
        <v>82</v>
      </c>
      <c r="D20" s="11" t="s">
        <v>83</v>
      </c>
      <c r="E20" s="11">
        <v>18</v>
      </c>
      <c r="F20" s="11">
        <v>17</v>
      </c>
      <c r="G20" s="11">
        <v>2950</v>
      </c>
      <c r="H20" s="14" t="s">
        <v>125</v>
      </c>
      <c r="I20" s="18">
        <v>10</v>
      </c>
      <c r="J20" s="19">
        <v>20</v>
      </c>
      <c r="K20" s="18">
        <v>9</v>
      </c>
      <c r="L20" s="18">
        <v>11</v>
      </c>
      <c r="M20" s="20">
        <v>14</v>
      </c>
      <c r="N20" s="21">
        <f t="shared" si="0"/>
        <v>64</v>
      </c>
      <c r="O20" s="22" t="s">
        <v>60</v>
      </c>
      <c r="P20" s="22" t="s">
        <v>232</v>
      </c>
      <c r="Q20" s="22" t="s">
        <v>62</v>
      </c>
      <c r="R20" s="22" t="s">
        <v>63</v>
      </c>
      <c r="S20" s="22" t="s">
        <v>398</v>
      </c>
      <c r="T20" s="22" t="s">
        <v>399</v>
      </c>
      <c r="U20" s="22" t="s">
        <v>400</v>
      </c>
    </row>
    <row r="21" ht="46" customHeight="1" spans="1:21">
      <c r="A21" s="15">
        <v>18</v>
      </c>
      <c r="B21" s="16" t="s">
        <v>401</v>
      </c>
      <c r="C21" s="17" t="s">
        <v>82</v>
      </c>
      <c r="D21" s="15" t="s">
        <v>83</v>
      </c>
      <c r="E21" s="15">
        <v>30</v>
      </c>
      <c r="F21" s="15">
        <v>18</v>
      </c>
      <c r="G21" s="15">
        <v>2830</v>
      </c>
      <c r="H21" s="14" t="s">
        <v>76</v>
      </c>
      <c r="I21" s="18">
        <v>5</v>
      </c>
      <c r="J21" s="20">
        <v>14</v>
      </c>
      <c r="K21" s="20">
        <v>13</v>
      </c>
      <c r="L21" s="18">
        <v>11</v>
      </c>
      <c r="M21" s="18">
        <v>12</v>
      </c>
      <c r="N21" s="21">
        <f t="shared" si="0"/>
        <v>55</v>
      </c>
      <c r="O21" s="23" t="s">
        <v>60</v>
      </c>
      <c r="P21" s="23" t="s">
        <v>180</v>
      </c>
      <c r="Q21" s="23" t="s">
        <v>105</v>
      </c>
      <c r="R21" s="23" t="s">
        <v>63</v>
      </c>
      <c r="S21" s="23" t="s">
        <v>402</v>
      </c>
      <c r="T21" s="23" t="s">
        <v>403</v>
      </c>
      <c r="U21" s="23" t="s">
        <v>404</v>
      </c>
    </row>
    <row r="22" ht="46" customHeight="1" spans="1:21">
      <c r="A22" s="11">
        <v>19</v>
      </c>
      <c r="B22" s="12" t="s">
        <v>405</v>
      </c>
      <c r="C22" s="13" t="s">
        <v>406</v>
      </c>
      <c r="D22" s="11" t="s">
        <v>407</v>
      </c>
      <c r="E22" s="11">
        <v>29</v>
      </c>
      <c r="F22" s="11">
        <v>19</v>
      </c>
      <c r="G22" s="11">
        <v>2720</v>
      </c>
      <c r="H22" s="14" t="s">
        <v>112</v>
      </c>
      <c r="I22" s="18">
        <v>10</v>
      </c>
      <c r="J22" s="20">
        <v>15</v>
      </c>
      <c r="K22" s="18">
        <v>10</v>
      </c>
      <c r="L22" s="18">
        <v>11</v>
      </c>
      <c r="M22" s="18">
        <v>11</v>
      </c>
      <c r="N22" s="21">
        <f t="shared" si="0"/>
        <v>57</v>
      </c>
      <c r="O22" s="22" t="s">
        <v>60</v>
      </c>
      <c r="P22" s="22" t="s">
        <v>104</v>
      </c>
      <c r="Q22" s="22" t="s">
        <v>62</v>
      </c>
      <c r="R22" s="22" t="s">
        <v>63</v>
      </c>
      <c r="S22" s="22" t="s">
        <v>408</v>
      </c>
      <c r="T22" s="22" t="s">
        <v>409</v>
      </c>
      <c r="U22" s="22" t="s">
        <v>410</v>
      </c>
    </row>
    <row r="23" ht="46" customHeight="1" spans="1:21">
      <c r="A23" s="15">
        <v>20</v>
      </c>
      <c r="B23" s="16" t="s">
        <v>411</v>
      </c>
      <c r="C23" s="17" t="s">
        <v>102</v>
      </c>
      <c r="D23" s="15" t="s">
        <v>103</v>
      </c>
      <c r="E23" s="15">
        <v>21</v>
      </c>
      <c r="F23" s="15">
        <v>20</v>
      </c>
      <c r="G23" s="15">
        <v>2640</v>
      </c>
      <c r="H23" s="14" t="s">
        <v>112</v>
      </c>
      <c r="I23" s="18">
        <v>10</v>
      </c>
      <c r="J23" s="19">
        <v>20</v>
      </c>
      <c r="K23" s="18">
        <v>10</v>
      </c>
      <c r="L23" s="18">
        <v>12</v>
      </c>
      <c r="M23" s="20">
        <v>13</v>
      </c>
      <c r="N23" s="21">
        <f t="shared" si="0"/>
        <v>65</v>
      </c>
      <c r="O23" s="23" t="s">
        <v>60</v>
      </c>
      <c r="P23" s="23" t="s">
        <v>339</v>
      </c>
      <c r="Q23" s="23" t="s">
        <v>62</v>
      </c>
      <c r="R23" s="23" t="s">
        <v>63</v>
      </c>
      <c r="S23" s="23" t="s">
        <v>412</v>
      </c>
      <c r="T23" s="23" t="s">
        <v>413</v>
      </c>
      <c r="U23" s="23" t="s">
        <v>414</v>
      </c>
    </row>
    <row r="24" ht="46" customHeight="1" spans="1:21">
      <c r="A24" s="11">
        <v>21</v>
      </c>
      <c r="B24" s="12" t="s">
        <v>415</v>
      </c>
      <c r="C24" s="13" t="s">
        <v>102</v>
      </c>
      <c r="D24" s="11" t="s">
        <v>103</v>
      </c>
      <c r="E24" s="11">
        <v>22</v>
      </c>
      <c r="F24" s="11">
        <v>21</v>
      </c>
      <c r="G24" s="11">
        <v>2550</v>
      </c>
      <c r="H24" s="14" t="s">
        <v>125</v>
      </c>
      <c r="I24" s="18">
        <v>10</v>
      </c>
      <c r="J24" s="19">
        <v>20</v>
      </c>
      <c r="K24" s="18">
        <v>9</v>
      </c>
      <c r="L24" s="18">
        <v>11</v>
      </c>
      <c r="M24" s="18">
        <v>12</v>
      </c>
      <c r="N24" s="21">
        <f t="shared" si="0"/>
        <v>62</v>
      </c>
      <c r="O24" s="22" t="s">
        <v>60</v>
      </c>
      <c r="P24" s="22" t="s">
        <v>151</v>
      </c>
      <c r="Q24" s="22" t="s">
        <v>62</v>
      </c>
      <c r="R24" s="22" t="s">
        <v>63</v>
      </c>
      <c r="S24" s="22" t="s">
        <v>416</v>
      </c>
      <c r="T24" s="22" t="s">
        <v>417</v>
      </c>
      <c r="U24" s="22" t="s">
        <v>418</v>
      </c>
    </row>
    <row r="25" ht="46" customHeight="1" spans="1:21">
      <c r="A25" s="15">
        <v>22</v>
      </c>
      <c r="B25" s="16" t="s">
        <v>419</v>
      </c>
      <c r="C25" s="17" t="s">
        <v>102</v>
      </c>
      <c r="D25" s="15" t="s">
        <v>103</v>
      </c>
      <c r="E25" s="15">
        <v>27</v>
      </c>
      <c r="F25" s="15">
        <v>22</v>
      </c>
      <c r="G25" s="15">
        <v>2470</v>
      </c>
      <c r="H25" s="14" t="s">
        <v>112</v>
      </c>
      <c r="I25" s="18">
        <v>10</v>
      </c>
      <c r="J25" s="19">
        <v>17</v>
      </c>
      <c r="K25" s="18">
        <v>10</v>
      </c>
      <c r="L25" s="18">
        <v>12</v>
      </c>
      <c r="M25" s="18">
        <v>11</v>
      </c>
      <c r="N25" s="21">
        <f t="shared" si="0"/>
        <v>60</v>
      </c>
      <c r="O25" s="23" t="s">
        <v>60</v>
      </c>
      <c r="P25" s="23" t="s">
        <v>77</v>
      </c>
      <c r="Q25" s="23" t="s">
        <v>62</v>
      </c>
      <c r="R25" s="23" t="s">
        <v>63</v>
      </c>
      <c r="S25" s="23" t="s">
        <v>420</v>
      </c>
      <c r="T25" s="23" t="s">
        <v>421</v>
      </c>
      <c r="U25" s="23" t="s">
        <v>422</v>
      </c>
    </row>
    <row r="26" ht="46" customHeight="1" spans="1:21">
      <c r="A26" s="11">
        <v>23</v>
      </c>
      <c r="B26" s="12" t="s">
        <v>423</v>
      </c>
      <c r="C26" s="13" t="s">
        <v>178</v>
      </c>
      <c r="D26" s="11" t="s">
        <v>179</v>
      </c>
      <c r="E26" s="11">
        <v>23</v>
      </c>
      <c r="F26" s="11">
        <v>23</v>
      </c>
      <c r="G26" s="11">
        <v>2410</v>
      </c>
      <c r="H26" s="14" t="s">
        <v>191</v>
      </c>
      <c r="I26" s="18">
        <v>5</v>
      </c>
      <c r="J26" s="19">
        <v>19</v>
      </c>
      <c r="K26" s="18">
        <v>11</v>
      </c>
      <c r="L26" s="20">
        <v>13</v>
      </c>
      <c r="M26" s="20">
        <v>13</v>
      </c>
      <c r="N26" s="21">
        <f t="shared" si="0"/>
        <v>61</v>
      </c>
      <c r="O26" s="22" t="s">
        <v>60</v>
      </c>
      <c r="P26" s="22" t="s">
        <v>97</v>
      </c>
      <c r="Q26" s="22" t="s">
        <v>105</v>
      </c>
      <c r="R26" s="22" t="s">
        <v>63</v>
      </c>
      <c r="S26" s="22" t="s">
        <v>424</v>
      </c>
      <c r="T26" s="22" t="s">
        <v>425</v>
      </c>
      <c r="U26" s="22" t="s">
        <v>426</v>
      </c>
    </row>
    <row r="27" ht="46" customHeight="1" spans="1:21">
      <c r="A27" s="15">
        <v>24</v>
      </c>
      <c r="B27" s="16" t="s">
        <v>427</v>
      </c>
      <c r="C27" s="17" t="s">
        <v>428</v>
      </c>
      <c r="D27" s="15" t="s">
        <v>429</v>
      </c>
      <c r="E27" s="15">
        <v>28</v>
      </c>
      <c r="F27" s="15">
        <v>24</v>
      </c>
      <c r="G27" s="15">
        <v>2350</v>
      </c>
      <c r="H27" s="14" t="s">
        <v>68</v>
      </c>
      <c r="I27" s="18">
        <v>6</v>
      </c>
      <c r="J27" s="19">
        <v>17</v>
      </c>
      <c r="K27" s="18">
        <v>12</v>
      </c>
      <c r="L27" s="20">
        <v>14</v>
      </c>
      <c r="M27" s="18">
        <v>11</v>
      </c>
      <c r="N27" s="21">
        <f t="shared" si="0"/>
        <v>60</v>
      </c>
      <c r="O27" s="23" t="s">
        <v>60</v>
      </c>
      <c r="P27" s="23" t="s">
        <v>61</v>
      </c>
      <c r="Q27" s="23" t="s">
        <v>105</v>
      </c>
      <c r="R27" s="23" t="s">
        <v>430</v>
      </c>
      <c r="S27" s="23" t="s">
        <v>431</v>
      </c>
      <c r="T27" s="23" t="s">
        <v>432</v>
      </c>
      <c r="U27" s="23" t="s">
        <v>433</v>
      </c>
    </row>
    <row r="28" ht="46" customHeight="1" spans="1:21">
      <c r="A28" s="11">
        <v>25</v>
      </c>
      <c r="B28" s="12" t="s">
        <v>434</v>
      </c>
      <c r="C28" s="13" t="s">
        <v>89</v>
      </c>
      <c r="D28" s="11" t="s">
        <v>90</v>
      </c>
      <c r="E28" s="11">
        <v>23</v>
      </c>
      <c r="F28" s="11">
        <v>25</v>
      </c>
      <c r="G28" s="11">
        <v>2290</v>
      </c>
      <c r="H28" s="14" t="s">
        <v>112</v>
      </c>
      <c r="I28" s="18">
        <v>10</v>
      </c>
      <c r="J28" s="19">
        <v>19</v>
      </c>
      <c r="K28" s="18">
        <v>11</v>
      </c>
      <c r="L28" s="18">
        <v>12</v>
      </c>
      <c r="M28" s="20">
        <v>13</v>
      </c>
      <c r="N28" s="21">
        <f t="shared" si="0"/>
        <v>65</v>
      </c>
      <c r="O28" s="22" t="s">
        <v>60</v>
      </c>
      <c r="P28" s="22" t="s">
        <v>97</v>
      </c>
      <c r="Q28" s="22" t="s">
        <v>62</v>
      </c>
      <c r="R28" s="22" t="s">
        <v>63</v>
      </c>
      <c r="S28" s="22" t="s">
        <v>435</v>
      </c>
      <c r="T28" s="22" t="s">
        <v>436</v>
      </c>
      <c r="U28" s="22" t="s">
        <v>437</v>
      </c>
    </row>
    <row r="29" ht="46" customHeight="1" spans="1:21">
      <c r="A29" s="15">
        <v>26</v>
      </c>
      <c r="B29" s="16" t="s">
        <v>438</v>
      </c>
      <c r="C29" s="17" t="s">
        <v>439</v>
      </c>
      <c r="D29" s="15" t="s">
        <v>440</v>
      </c>
      <c r="E29" s="15">
        <v>23</v>
      </c>
      <c r="F29" s="15">
        <v>26</v>
      </c>
      <c r="G29" s="15">
        <v>2230</v>
      </c>
      <c r="H29" s="14" t="s">
        <v>91</v>
      </c>
      <c r="I29" s="18">
        <v>10</v>
      </c>
      <c r="J29" s="19">
        <v>19</v>
      </c>
      <c r="K29" s="18">
        <v>11</v>
      </c>
      <c r="L29" s="18">
        <v>12</v>
      </c>
      <c r="M29" s="20">
        <v>13</v>
      </c>
      <c r="N29" s="21">
        <f t="shared" si="0"/>
        <v>65</v>
      </c>
      <c r="O29" s="23" t="s">
        <v>60</v>
      </c>
      <c r="P29" s="23" t="s">
        <v>97</v>
      </c>
      <c r="Q29" s="23" t="s">
        <v>62</v>
      </c>
      <c r="R29" s="23" t="s">
        <v>63</v>
      </c>
      <c r="S29" s="23" t="s">
        <v>441</v>
      </c>
      <c r="T29" s="23" t="s">
        <v>442</v>
      </c>
      <c r="U29" s="23" t="s">
        <v>443</v>
      </c>
    </row>
    <row r="30" ht="46" customHeight="1" spans="1:21">
      <c r="A30" s="11">
        <v>27</v>
      </c>
      <c r="B30" s="12" t="s">
        <v>444</v>
      </c>
      <c r="C30" s="13" t="s">
        <v>82</v>
      </c>
      <c r="D30" s="11" t="s">
        <v>83</v>
      </c>
      <c r="E30" s="11">
        <v>23</v>
      </c>
      <c r="F30" s="11">
        <v>27</v>
      </c>
      <c r="G30" s="11">
        <v>2170</v>
      </c>
      <c r="H30" s="14" t="s">
        <v>91</v>
      </c>
      <c r="I30" s="18">
        <v>10</v>
      </c>
      <c r="J30" s="19">
        <v>19</v>
      </c>
      <c r="K30" s="18">
        <v>10</v>
      </c>
      <c r="L30" s="18">
        <v>12</v>
      </c>
      <c r="M30" s="20">
        <v>13</v>
      </c>
      <c r="N30" s="21">
        <f t="shared" si="0"/>
        <v>64</v>
      </c>
      <c r="O30" s="22" t="s">
        <v>60</v>
      </c>
      <c r="P30" s="22" t="s">
        <v>97</v>
      </c>
      <c r="Q30" s="22" t="s">
        <v>62</v>
      </c>
      <c r="R30" s="22" t="s">
        <v>63</v>
      </c>
      <c r="S30" s="22" t="s">
        <v>445</v>
      </c>
      <c r="T30" s="22" t="s">
        <v>446</v>
      </c>
      <c r="U30" s="22" t="s">
        <v>447</v>
      </c>
    </row>
    <row r="31" ht="46" customHeight="1" spans="1:21">
      <c r="A31" s="15">
        <v>28</v>
      </c>
      <c r="B31" s="16" t="s">
        <v>448</v>
      </c>
      <c r="C31" s="17" t="s">
        <v>230</v>
      </c>
      <c r="D31" s="15" t="s">
        <v>231</v>
      </c>
      <c r="E31" s="15">
        <v>28</v>
      </c>
      <c r="F31" s="15">
        <v>28</v>
      </c>
      <c r="G31" s="15">
        <v>2100</v>
      </c>
      <c r="H31" s="14" t="s">
        <v>125</v>
      </c>
      <c r="I31" s="18">
        <v>10</v>
      </c>
      <c r="J31" s="19">
        <v>17</v>
      </c>
      <c r="K31" s="18">
        <v>10</v>
      </c>
      <c r="L31" s="18">
        <v>12</v>
      </c>
      <c r="M31" s="18">
        <v>11</v>
      </c>
      <c r="N31" s="21">
        <f t="shared" si="0"/>
        <v>60</v>
      </c>
      <c r="O31" s="23" t="s">
        <v>60</v>
      </c>
      <c r="P31" s="23" t="s">
        <v>61</v>
      </c>
      <c r="Q31" s="23" t="s">
        <v>62</v>
      </c>
      <c r="R31" s="23" t="s">
        <v>63</v>
      </c>
      <c r="S31" s="23" t="s">
        <v>449</v>
      </c>
      <c r="T31" s="23" t="s">
        <v>450</v>
      </c>
      <c r="U31" s="23" t="s">
        <v>451</v>
      </c>
    </row>
    <row r="32" ht="46" customHeight="1" spans="1:21">
      <c r="A32" s="11">
        <v>29</v>
      </c>
      <c r="B32" s="12" t="s">
        <v>452</v>
      </c>
      <c r="C32" s="13" t="s">
        <v>123</v>
      </c>
      <c r="D32" s="11" t="s">
        <v>124</v>
      </c>
      <c r="E32" s="11">
        <v>29</v>
      </c>
      <c r="F32" s="11">
        <v>29</v>
      </c>
      <c r="G32" s="11">
        <v>2050</v>
      </c>
      <c r="H32" s="14" t="s">
        <v>191</v>
      </c>
      <c r="I32" s="18">
        <v>10</v>
      </c>
      <c r="J32" s="20">
        <v>15</v>
      </c>
      <c r="K32" s="20">
        <v>14</v>
      </c>
      <c r="L32" s="20">
        <v>16</v>
      </c>
      <c r="M32" s="18">
        <v>8</v>
      </c>
      <c r="N32" s="21">
        <f t="shared" si="0"/>
        <v>63</v>
      </c>
      <c r="O32" s="22" t="s">
        <v>60</v>
      </c>
      <c r="P32" s="22" t="s">
        <v>104</v>
      </c>
      <c r="Q32" s="22" t="s">
        <v>453</v>
      </c>
      <c r="R32" s="22" t="s">
        <v>63</v>
      </c>
      <c r="S32" s="22" t="s">
        <v>454</v>
      </c>
      <c r="T32" s="22" t="s">
        <v>455</v>
      </c>
      <c r="U32" s="22" t="s">
        <v>456</v>
      </c>
    </row>
    <row r="33" ht="46" customHeight="1" spans="1:21">
      <c r="A33" s="15">
        <v>30</v>
      </c>
      <c r="B33" s="16" t="s">
        <v>457</v>
      </c>
      <c r="C33" s="17" t="s">
        <v>123</v>
      </c>
      <c r="D33" s="15" t="s">
        <v>124</v>
      </c>
      <c r="E33" s="15">
        <v>26</v>
      </c>
      <c r="F33" s="15">
        <v>30</v>
      </c>
      <c r="G33" s="15">
        <v>2000</v>
      </c>
      <c r="H33" s="14" t="s">
        <v>125</v>
      </c>
      <c r="I33" s="18">
        <v>10</v>
      </c>
      <c r="J33" s="19">
        <v>18</v>
      </c>
      <c r="K33" s="18">
        <v>9</v>
      </c>
      <c r="L33" s="18">
        <v>11</v>
      </c>
      <c r="M33" s="18">
        <v>11</v>
      </c>
      <c r="N33" s="21">
        <f t="shared" si="0"/>
        <v>59</v>
      </c>
      <c r="O33" s="23" t="s">
        <v>60</v>
      </c>
      <c r="P33" s="23" t="s">
        <v>144</v>
      </c>
      <c r="Q33" s="23" t="s">
        <v>62</v>
      </c>
      <c r="R33" s="23" t="s">
        <v>63</v>
      </c>
      <c r="S33" s="23" t="s">
        <v>458</v>
      </c>
      <c r="T33" s="23" t="s">
        <v>459</v>
      </c>
      <c r="U33" s="23" t="s">
        <v>460</v>
      </c>
    </row>
    <row r="34" ht="46" customHeight="1" spans="1:21">
      <c r="A34" s="11">
        <v>31</v>
      </c>
      <c r="B34" s="12" t="s">
        <v>461</v>
      </c>
      <c r="C34" s="13" t="s">
        <v>439</v>
      </c>
      <c r="D34" s="11" t="s">
        <v>440</v>
      </c>
      <c r="E34" s="11">
        <v>23</v>
      </c>
      <c r="F34" s="11">
        <v>31</v>
      </c>
      <c r="G34" s="11">
        <v>1950</v>
      </c>
      <c r="H34" s="14" t="s">
        <v>131</v>
      </c>
      <c r="I34" s="18">
        <v>10</v>
      </c>
      <c r="J34" s="19">
        <v>19</v>
      </c>
      <c r="K34" s="18">
        <v>8</v>
      </c>
      <c r="L34" s="18">
        <v>10</v>
      </c>
      <c r="M34" s="18">
        <v>12</v>
      </c>
      <c r="N34" s="21">
        <f t="shared" si="0"/>
        <v>59</v>
      </c>
      <c r="O34" s="22" t="s">
        <v>60</v>
      </c>
      <c r="P34" s="22" t="s">
        <v>97</v>
      </c>
      <c r="Q34" s="22" t="s">
        <v>62</v>
      </c>
      <c r="R34" s="22" t="s">
        <v>63</v>
      </c>
      <c r="S34" s="22" t="s">
        <v>462</v>
      </c>
      <c r="T34" s="22" t="s">
        <v>463</v>
      </c>
      <c r="U34" s="22" t="s">
        <v>464</v>
      </c>
    </row>
    <row r="35" ht="46" customHeight="1" spans="1:21">
      <c r="A35" s="15">
        <v>32</v>
      </c>
      <c r="B35" s="16" t="s">
        <v>465</v>
      </c>
      <c r="C35" s="17" t="s">
        <v>123</v>
      </c>
      <c r="D35" s="15" t="s">
        <v>124</v>
      </c>
      <c r="E35" s="15">
        <v>28</v>
      </c>
      <c r="F35" s="15">
        <v>32</v>
      </c>
      <c r="G35" s="15">
        <v>1900</v>
      </c>
      <c r="H35" s="14" t="s">
        <v>125</v>
      </c>
      <c r="I35" s="18">
        <v>10</v>
      </c>
      <c r="J35" s="19">
        <v>17</v>
      </c>
      <c r="K35" s="18">
        <v>10</v>
      </c>
      <c r="L35" s="20">
        <v>13</v>
      </c>
      <c r="M35" s="18">
        <v>10</v>
      </c>
      <c r="N35" s="21">
        <f t="shared" si="0"/>
        <v>60</v>
      </c>
      <c r="O35" s="23" t="s">
        <v>60</v>
      </c>
      <c r="P35" s="23" t="s">
        <v>61</v>
      </c>
      <c r="Q35" s="23" t="s">
        <v>62</v>
      </c>
      <c r="R35" s="23" t="s">
        <v>63</v>
      </c>
      <c r="S35" s="23" t="s">
        <v>466</v>
      </c>
      <c r="T35" s="23" t="s">
        <v>467</v>
      </c>
      <c r="U35" s="23" t="s">
        <v>468</v>
      </c>
    </row>
    <row r="36" ht="46" customHeight="1" spans="1:21">
      <c r="A36" s="11">
        <v>33</v>
      </c>
      <c r="B36" s="12" t="s">
        <v>469</v>
      </c>
      <c r="C36" s="13" t="s">
        <v>123</v>
      </c>
      <c r="D36" s="11" t="s">
        <v>124</v>
      </c>
      <c r="E36" s="11">
        <v>19</v>
      </c>
      <c r="F36" s="11">
        <v>33</v>
      </c>
      <c r="G36" s="11">
        <v>1860</v>
      </c>
      <c r="H36" s="14" t="s">
        <v>125</v>
      </c>
      <c r="I36" s="18">
        <v>10</v>
      </c>
      <c r="J36" s="19">
        <v>20</v>
      </c>
      <c r="K36" s="18">
        <v>8</v>
      </c>
      <c r="L36" s="18">
        <v>11</v>
      </c>
      <c r="M36" s="18">
        <v>12</v>
      </c>
      <c r="N36" s="21">
        <f t="shared" si="0"/>
        <v>61</v>
      </c>
      <c r="O36" s="22" t="s">
        <v>60</v>
      </c>
      <c r="P36" s="22" t="s">
        <v>364</v>
      </c>
      <c r="Q36" s="22" t="s">
        <v>62</v>
      </c>
      <c r="R36" s="22" t="s">
        <v>63</v>
      </c>
      <c r="S36" s="22" t="s">
        <v>470</v>
      </c>
      <c r="T36" s="22" t="s">
        <v>471</v>
      </c>
      <c r="U36" s="22" t="s">
        <v>472</v>
      </c>
    </row>
    <row r="37" ht="46" customHeight="1" spans="1:21">
      <c r="A37" s="15">
        <v>34</v>
      </c>
      <c r="B37" s="16" t="s">
        <v>473</v>
      </c>
      <c r="C37" s="17" t="s">
        <v>102</v>
      </c>
      <c r="D37" s="15" t="s">
        <v>103</v>
      </c>
      <c r="E37" s="15">
        <v>24</v>
      </c>
      <c r="F37" s="15">
        <v>34</v>
      </c>
      <c r="G37" s="15">
        <v>1820</v>
      </c>
      <c r="H37" s="14" t="s">
        <v>131</v>
      </c>
      <c r="I37" s="18">
        <v>10</v>
      </c>
      <c r="J37" s="19">
        <v>19</v>
      </c>
      <c r="K37" s="18">
        <v>8</v>
      </c>
      <c r="L37" s="18">
        <v>11</v>
      </c>
      <c r="M37" s="18">
        <v>11</v>
      </c>
      <c r="N37" s="21">
        <f t="shared" si="0"/>
        <v>59</v>
      </c>
      <c r="O37" s="23" t="s">
        <v>60</v>
      </c>
      <c r="P37" s="23" t="s">
        <v>69</v>
      </c>
      <c r="Q37" s="23" t="s">
        <v>62</v>
      </c>
      <c r="R37" s="23" t="s">
        <v>63</v>
      </c>
      <c r="S37" s="23" t="s">
        <v>474</v>
      </c>
      <c r="T37" s="23" t="s">
        <v>475</v>
      </c>
      <c r="U37" s="23" t="s">
        <v>476</v>
      </c>
    </row>
    <row r="38" ht="46" customHeight="1" spans="1:21">
      <c r="A38" s="11">
        <v>35</v>
      </c>
      <c r="B38" s="12" t="s">
        <v>477</v>
      </c>
      <c r="C38" s="13" t="s">
        <v>156</v>
      </c>
      <c r="D38" s="11" t="s">
        <v>157</v>
      </c>
      <c r="E38" s="11">
        <v>27</v>
      </c>
      <c r="F38" s="11">
        <v>35</v>
      </c>
      <c r="G38" s="11">
        <v>1780</v>
      </c>
      <c r="H38" s="14" t="s">
        <v>241</v>
      </c>
      <c r="I38" s="18">
        <v>10</v>
      </c>
      <c r="J38" s="19">
        <v>17</v>
      </c>
      <c r="K38" s="18">
        <v>8</v>
      </c>
      <c r="L38" s="18">
        <v>9</v>
      </c>
      <c r="M38" s="18">
        <v>10</v>
      </c>
      <c r="N38" s="21">
        <f t="shared" si="0"/>
        <v>54</v>
      </c>
      <c r="O38" s="22" t="s">
        <v>60</v>
      </c>
      <c r="P38" s="22" t="s">
        <v>77</v>
      </c>
      <c r="Q38" s="22" t="s">
        <v>62</v>
      </c>
      <c r="R38" s="22" t="s">
        <v>63</v>
      </c>
      <c r="S38" s="22" t="s">
        <v>478</v>
      </c>
      <c r="T38" s="22" t="s">
        <v>479</v>
      </c>
      <c r="U38" s="22" t="s">
        <v>480</v>
      </c>
    </row>
    <row r="39" ht="46" customHeight="1" spans="1:21">
      <c r="A39" s="15">
        <v>36</v>
      </c>
      <c r="B39" s="16" t="s">
        <v>481</v>
      </c>
      <c r="C39" s="17" t="s">
        <v>358</v>
      </c>
      <c r="D39" s="15" t="s">
        <v>359</v>
      </c>
      <c r="E39" s="15">
        <v>24</v>
      </c>
      <c r="F39" s="15">
        <v>36</v>
      </c>
      <c r="G39" s="15">
        <v>1750</v>
      </c>
      <c r="H39" s="14" t="s">
        <v>125</v>
      </c>
      <c r="I39" s="18">
        <v>10</v>
      </c>
      <c r="J39" s="19">
        <v>19</v>
      </c>
      <c r="K39" s="18">
        <v>10</v>
      </c>
      <c r="L39" s="18">
        <v>12</v>
      </c>
      <c r="M39" s="18">
        <v>12</v>
      </c>
      <c r="N39" s="21">
        <f t="shared" si="0"/>
        <v>63</v>
      </c>
      <c r="O39" s="23" t="s">
        <v>60</v>
      </c>
      <c r="P39" s="23" t="s">
        <v>69</v>
      </c>
      <c r="Q39" s="23" t="s">
        <v>62</v>
      </c>
      <c r="R39" s="23" t="s">
        <v>63</v>
      </c>
      <c r="S39" s="23" t="s">
        <v>482</v>
      </c>
      <c r="T39" s="23" t="s">
        <v>483</v>
      </c>
      <c r="U39" s="23" t="s">
        <v>484</v>
      </c>
    </row>
    <row r="40" ht="46" customHeight="1" spans="1:21">
      <c r="A40" s="11">
        <v>37</v>
      </c>
      <c r="B40" s="12" t="s">
        <v>485</v>
      </c>
      <c r="C40" s="13" t="s">
        <v>102</v>
      </c>
      <c r="D40" s="11" t="s">
        <v>103</v>
      </c>
      <c r="E40" s="11">
        <v>25</v>
      </c>
      <c r="F40" s="11">
        <v>37</v>
      </c>
      <c r="G40" s="11">
        <v>1720</v>
      </c>
      <c r="H40" s="14" t="s">
        <v>131</v>
      </c>
      <c r="I40" s="18">
        <v>10</v>
      </c>
      <c r="J40" s="19">
        <v>18</v>
      </c>
      <c r="K40" s="18">
        <v>9</v>
      </c>
      <c r="L40" s="18">
        <v>11</v>
      </c>
      <c r="M40" s="18">
        <v>11</v>
      </c>
      <c r="N40" s="21">
        <f t="shared" si="0"/>
        <v>59</v>
      </c>
      <c r="O40" s="22" t="s">
        <v>60</v>
      </c>
      <c r="P40" s="22" t="s">
        <v>92</v>
      </c>
      <c r="Q40" s="22" t="s">
        <v>62</v>
      </c>
      <c r="R40" s="22" t="s">
        <v>63</v>
      </c>
      <c r="S40" s="22" t="s">
        <v>486</v>
      </c>
      <c r="T40" s="22" t="s">
        <v>487</v>
      </c>
      <c r="U40" s="22" t="s">
        <v>488</v>
      </c>
    </row>
    <row r="41" ht="46" customHeight="1" spans="1:21">
      <c r="A41" s="15">
        <v>38</v>
      </c>
      <c r="B41" s="16" t="s">
        <v>489</v>
      </c>
      <c r="C41" s="17" t="s">
        <v>24</v>
      </c>
      <c r="D41" s="15" t="s">
        <v>25</v>
      </c>
      <c r="E41" s="15">
        <v>27</v>
      </c>
      <c r="F41" s="15">
        <v>38</v>
      </c>
      <c r="G41" s="15">
        <v>1690</v>
      </c>
      <c r="H41" s="14" t="s">
        <v>241</v>
      </c>
      <c r="I41" s="18">
        <v>10</v>
      </c>
      <c r="J41" s="19">
        <v>17</v>
      </c>
      <c r="K41" s="18">
        <v>8</v>
      </c>
      <c r="L41" s="18">
        <v>9</v>
      </c>
      <c r="M41" s="18">
        <v>10</v>
      </c>
      <c r="N41" s="21">
        <f t="shared" si="0"/>
        <v>54</v>
      </c>
      <c r="O41" s="23" t="s">
        <v>60</v>
      </c>
      <c r="P41" s="23" t="s">
        <v>77</v>
      </c>
      <c r="Q41" s="23" t="s">
        <v>62</v>
      </c>
      <c r="R41" s="23" t="s">
        <v>63</v>
      </c>
      <c r="S41" s="23" t="s">
        <v>490</v>
      </c>
      <c r="T41" s="23" t="s">
        <v>491</v>
      </c>
      <c r="U41" s="23" t="s">
        <v>492</v>
      </c>
    </row>
    <row r="42" ht="46" customHeight="1" spans="1:21">
      <c r="A42" s="11">
        <v>39</v>
      </c>
      <c r="B42" s="12" t="s">
        <v>493</v>
      </c>
      <c r="C42" s="13" t="s">
        <v>149</v>
      </c>
      <c r="D42" s="11" t="s">
        <v>150</v>
      </c>
      <c r="E42" s="11">
        <v>23</v>
      </c>
      <c r="F42" s="11">
        <v>39</v>
      </c>
      <c r="G42" s="11">
        <v>1660</v>
      </c>
      <c r="H42" s="14" t="s">
        <v>125</v>
      </c>
      <c r="I42" s="18">
        <v>10</v>
      </c>
      <c r="J42" s="19">
        <v>19</v>
      </c>
      <c r="K42" s="18">
        <v>9</v>
      </c>
      <c r="L42" s="18">
        <v>12</v>
      </c>
      <c r="M42" s="18">
        <v>12</v>
      </c>
      <c r="N42" s="21">
        <f t="shared" si="0"/>
        <v>62</v>
      </c>
      <c r="O42" s="22" t="s">
        <v>60</v>
      </c>
      <c r="P42" s="22" t="s">
        <v>97</v>
      </c>
      <c r="Q42" s="22" t="s">
        <v>62</v>
      </c>
      <c r="R42" s="22" t="s">
        <v>63</v>
      </c>
      <c r="S42" s="22" t="s">
        <v>494</v>
      </c>
      <c r="T42" s="22" t="s">
        <v>495</v>
      </c>
      <c r="U42" s="22" t="s">
        <v>496</v>
      </c>
    </row>
    <row r="43" ht="46" customHeight="1" spans="1:21">
      <c r="A43" s="15">
        <v>40</v>
      </c>
      <c r="B43" s="16" t="s">
        <v>497</v>
      </c>
      <c r="C43" s="17" t="s">
        <v>123</v>
      </c>
      <c r="D43" s="15" t="s">
        <v>124</v>
      </c>
      <c r="E43" s="15">
        <v>35</v>
      </c>
      <c r="F43" s="15">
        <v>40</v>
      </c>
      <c r="G43" s="15">
        <v>1640</v>
      </c>
      <c r="H43" s="14" t="s">
        <v>68</v>
      </c>
      <c r="I43" s="20">
        <v>13</v>
      </c>
      <c r="J43" s="18">
        <v>10</v>
      </c>
      <c r="K43" s="20">
        <v>15</v>
      </c>
      <c r="L43" s="19">
        <v>17</v>
      </c>
      <c r="M43" s="18">
        <v>9</v>
      </c>
      <c r="N43" s="21">
        <f t="shared" si="0"/>
        <v>64</v>
      </c>
      <c r="O43" s="23" t="s">
        <v>60</v>
      </c>
      <c r="P43" s="23" t="s">
        <v>498</v>
      </c>
      <c r="Q43" s="23" t="s">
        <v>453</v>
      </c>
      <c r="R43" s="23" t="s">
        <v>499</v>
      </c>
      <c r="S43" s="23" t="s">
        <v>500</v>
      </c>
      <c r="T43" s="23" t="s">
        <v>501</v>
      </c>
      <c r="U43" s="23" t="s">
        <v>502</v>
      </c>
    </row>
    <row r="44" ht="46" customHeight="1" spans="1:21">
      <c r="A44" s="11">
        <v>41</v>
      </c>
      <c r="B44" s="12" t="s">
        <v>503</v>
      </c>
      <c r="C44" s="13" t="s">
        <v>259</v>
      </c>
      <c r="D44" s="11" t="s">
        <v>260</v>
      </c>
      <c r="E44" s="11">
        <v>29</v>
      </c>
      <c r="F44" s="11">
        <v>41</v>
      </c>
      <c r="G44" s="11">
        <v>1600</v>
      </c>
      <c r="H44" s="14" t="s">
        <v>241</v>
      </c>
      <c r="I44" s="18">
        <v>10</v>
      </c>
      <c r="J44" s="20">
        <v>15</v>
      </c>
      <c r="K44" s="18">
        <v>8</v>
      </c>
      <c r="L44" s="18">
        <v>10</v>
      </c>
      <c r="M44" s="18">
        <v>10</v>
      </c>
      <c r="N44" s="21">
        <f t="shared" si="0"/>
        <v>53</v>
      </c>
      <c r="O44" s="22" t="s">
        <v>60</v>
      </c>
      <c r="P44" s="22" t="s">
        <v>104</v>
      </c>
      <c r="Q44" s="22" t="s">
        <v>62</v>
      </c>
      <c r="R44" s="22" t="s">
        <v>63</v>
      </c>
      <c r="S44" s="22" t="s">
        <v>504</v>
      </c>
      <c r="T44" s="22" t="s">
        <v>505</v>
      </c>
      <c r="U44" s="22" t="s">
        <v>506</v>
      </c>
    </row>
    <row r="45" ht="46" customHeight="1" spans="1:21">
      <c r="A45" s="15">
        <v>42</v>
      </c>
      <c r="B45" s="16" t="s">
        <v>507</v>
      </c>
      <c r="C45" s="17" t="s">
        <v>149</v>
      </c>
      <c r="D45" s="15" t="s">
        <v>150</v>
      </c>
      <c r="E45" s="15">
        <v>33</v>
      </c>
      <c r="F45" s="15">
        <v>42</v>
      </c>
      <c r="G45" s="15">
        <v>1580</v>
      </c>
      <c r="H45" s="14" t="s">
        <v>131</v>
      </c>
      <c r="I45" s="18">
        <v>10</v>
      </c>
      <c r="J45" s="18">
        <v>12</v>
      </c>
      <c r="K45" s="18">
        <v>12</v>
      </c>
      <c r="L45" s="18">
        <v>10</v>
      </c>
      <c r="M45" s="18">
        <v>9</v>
      </c>
      <c r="N45" s="21">
        <f t="shared" si="0"/>
        <v>53</v>
      </c>
      <c r="O45" s="23" t="s">
        <v>60</v>
      </c>
      <c r="P45" s="23" t="s">
        <v>508</v>
      </c>
      <c r="Q45" s="23" t="s">
        <v>105</v>
      </c>
      <c r="R45" s="23" t="s">
        <v>63</v>
      </c>
      <c r="S45" s="23" t="s">
        <v>509</v>
      </c>
      <c r="T45" s="23" t="s">
        <v>510</v>
      </c>
      <c r="U45" s="23" t="s">
        <v>511</v>
      </c>
    </row>
    <row r="46" ht="46" customHeight="1" spans="1:21">
      <c r="A46" s="11">
        <v>43</v>
      </c>
      <c r="B46" s="12" t="s">
        <v>512</v>
      </c>
      <c r="C46" s="13" t="s">
        <v>82</v>
      </c>
      <c r="D46" s="11" t="s">
        <v>83</v>
      </c>
      <c r="E46" s="11">
        <v>22</v>
      </c>
      <c r="F46" s="11">
        <v>43</v>
      </c>
      <c r="G46" s="11">
        <v>1560</v>
      </c>
      <c r="H46" s="14" t="s">
        <v>131</v>
      </c>
      <c r="I46" s="18">
        <v>10</v>
      </c>
      <c r="J46" s="19">
        <v>20</v>
      </c>
      <c r="K46" s="18">
        <v>8</v>
      </c>
      <c r="L46" s="18">
        <v>10</v>
      </c>
      <c r="M46" s="18">
        <v>12</v>
      </c>
      <c r="N46" s="21">
        <f t="shared" si="0"/>
        <v>60</v>
      </c>
      <c r="O46" s="22" t="s">
        <v>60</v>
      </c>
      <c r="P46" s="22" t="s">
        <v>151</v>
      </c>
      <c r="Q46" s="22" t="s">
        <v>62</v>
      </c>
      <c r="R46" s="22" t="s">
        <v>63</v>
      </c>
      <c r="S46" s="22" t="s">
        <v>513</v>
      </c>
      <c r="T46" s="22" t="s">
        <v>514</v>
      </c>
      <c r="U46" s="22" t="s">
        <v>515</v>
      </c>
    </row>
    <row r="47" ht="46" customHeight="1" spans="1:21">
      <c r="A47" s="15">
        <v>44</v>
      </c>
      <c r="B47" s="16" t="s">
        <v>516</v>
      </c>
      <c r="C47" s="17" t="s">
        <v>82</v>
      </c>
      <c r="D47" s="15" t="s">
        <v>83</v>
      </c>
      <c r="E47" s="15">
        <v>23</v>
      </c>
      <c r="F47" s="15">
        <v>44</v>
      </c>
      <c r="G47" s="15">
        <v>1540</v>
      </c>
      <c r="H47" s="14" t="s">
        <v>241</v>
      </c>
      <c r="I47" s="18">
        <v>10</v>
      </c>
      <c r="J47" s="19">
        <v>19</v>
      </c>
      <c r="K47" s="18">
        <v>7</v>
      </c>
      <c r="L47" s="18">
        <v>10</v>
      </c>
      <c r="M47" s="18">
        <v>11</v>
      </c>
      <c r="N47" s="21">
        <f t="shared" si="0"/>
        <v>57</v>
      </c>
      <c r="O47" s="23" t="s">
        <v>60</v>
      </c>
      <c r="P47" s="23" t="s">
        <v>97</v>
      </c>
      <c r="Q47" s="23" t="s">
        <v>62</v>
      </c>
      <c r="R47" s="23" t="s">
        <v>63</v>
      </c>
      <c r="S47" s="23" t="s">
        <v>517</v>
      </c>
      <c r="T47" s="23" t="s">
        <v>518</v>
      </c>
      <c r="U47" s="23" t="s">
        <v>519</v>
      </c>
    </row>
    <row r="48" ht="46" customHeight="1" spans="1:21">
      <c r="A48" s="11">
        <v>45</v>
      </c>
      <c r="B48" s="12" t="s">
        <v>520</v>
      </c>
      <c r="C48" s="13" t="s">
        <v>24</v>
      </c>
      <c r="D48" s="11" t="s">
        <v>25</v>
      </c>
      <c r="E48" s="11">
        <v>26</v>
      </c>
      <c r="F48" s="11">
        <v>45</v>
      </c>
      <c r="G48" s="11">
        <v>1520</v>
      </c>
      <c r="H48" s="14" t="s">
        <v>112</v>
      </c>
      <c r="I48" s="18">
        <v>10</v>
      </c>
      <c r="J48" s="19">
        <v>18</v>
      </c>
      <c r="K48" s="18">
        <v>10</v>
      </c>
      <c r="L48" s="18">
        <v>11</v>
      </c>
      <c r="M48" s="18">
        <v>12</v>
      </c>
      <c r="N48" s="21">
        <f t="shared" si="0"/>
        <v>61</v>
      </c>
      <c r="O48" s="22" t="s">
        <v>60</v>
      </c>
      <c r="P48" s="22" t="s">
        <v>144</v>
      </c>
      <c r="Q48" s="22" t="s">
        <v>62</v>
      </c>
      <c r="R48" s="22" t="s">
        <v>63</v>
      </c>
      <c r="S48" s="22" t="s">
        <v>521</v>
      </c>
      <c r="T48" s="22" t="s">
        <v>522</v>
      </c>
      <c r="U48" s="22" t="s">
        <v>523</v>
      </c>
    </row>
    <row r="49" ht="46" customHeight="1" spans="1:21">
      <c r="A49" s="15">
        <v>46</v>
      </c>
      <c r="B49" s="16" t="s">
        <v>524</v>
      </c>
      <c r="C49" s="17" t="s">
        <v>358</v>
      </c>
      <c r="D49" s="15" t="s">
        <v>359</v>
      </c>
      <c r="E49" s="15">
        <v>22</v>
      </c>
      <c r="F49" s="15">
        <v>46</v>
      </c>
      <c r="G49" s="15">
        <v>1500</v>
      </c>
      <c r="H49" s="14" t="s">
        <v>131</v>
      </c>
      <c r="I49" s="18">
        <v>10</v>
      </c>
      <c r="J49" s="19">
        <v>20</v>
      </c>
      <c r="K49" s="18">
        <v>9</v>
      </c>
      <c r="L49" s="18">
        <v>11</v>
      </c>
      <c r="M49" s="18">
        <v>12</v>
      </c>
      <c r="N49" s="21">
        <f t="shared" si="0"/>
        <v>62</v>
      </c>
      <c r="O49" s="23" t="s">
        <v>60</v>
      </c>
      <c r="P49" s="23" t="s">
        <v>151</v>
      </c>
      <c r="Q49" s="23" t="s">
        <v>62</v>
      </c>
      <c r="R49" s="23" t="s">
        <v>63</v>
      </c>
      <c r="S49" s="23" t="s">
        <v>525</v>
      </c>
      <c r="T49" s="23" t="s">
        <v>526</v>
      </c>
      <c r="U49" s="23" t="s">
        <v>527</v>
      </c>
    </row>
    <row r="50" ht="46" customHeight="1" spans="1:21">
      <c r="A50" s="11">
        <v>47</v>
      </c>
      <c r="B50" s="12" t="s">
        <v>528</v>
      </c>
      <c r="C50" s="13" t="s">
        <v>123</v>
      </c>
      <c r="D50" s="11" t="s">
        <v>124</v>
      </c>
      <c r="E50" s="11">
        <v>33</v>
      </c>
      <c r="F50" s="11">
        <v>47</v>
      </c>
      <c r="G50" s="11">
        <v>1480</v>
      </c>
      <c r="H50" s="14" t="s">
        <v>125</v>
      </c>
      <c r="I50" s="18">
        <v>9</v>
      </c>
      <c r="J50" s="18">
        <v>12</v>
      </c>
      <c r="K50" s="18">
        <v>12</v>
      </c>
      <c r="L50" s="20">
        <v>14</v>
      </c>
      <c r="M50" s="18">
        <v>9</v>
      </c>
      <c r="N50" s="21">
        <f t="shared" si="0"/>
        <v>56</v>
      </c>
      <c r="O50" s="22" t="s">
        <v>60</v>
      </c>
      <c r="P50" s="22" t="s">
        <v>508</v>
      </c>
      <c r="Q50" s="22" t="s">
        <v>62</v>
      </c>
      <c r="R50" s="22" t="s">
        <v>63</v>
      </c>
      <c r="S50" s="22" t="s">
        <v>529</v>
      </c>
      <c r="T50" s="22" t="s">
        <v>530</v>
      </c>
      <c r="U50" s="22" t="s">
        <v>531</v>
      </c>
    </row>
    <row r="51" ht="46" customHeight="1" spans="1:21">
      <c r="A51" s="15">
        <v>48</v>
      </c>
      <c r="B51" s="16" t="s">
        <v>532</v>
      </c>
      <c r="C51" s="17" t="s">
        <v>439</v>
      </c>
      <c r="D51" s="15" t="s">
        <v>440</v>
      </c>
      <c r="E51" s="15">
        <v>39</v>
      </c>
      <c r="F51" s="15">
        <v>48</v>
      </c>
      <c r="G51" s="15">
        <v>1460</v>
      </c>
      <c r="H51" s="14" t="s">
        <v>241</v>
      </c>
      <c r="I51" s="18">
        <v>10</v>
      </c>
      <c r="J51" s="18">
        <v>5</v>
      </c>
      <c r="K51" s="18">
        <v>8</v>
      </c>
      <c r="L51" s="18">
        <v>9</v>
      </c>
      <c r="M51" s="18">
        <v>7</v>
      </c>
      <c r="N51" s="21">
        <f t="shared" si="0"/>
        <v>39</v>
      </c>
      <c r="O51" s="23" t="s">
        <v>60</v>
      </c>
      <c r="P51" s="23" t="s">
        <v>242</v>
      </c>
      <c r="Q51" s="23" t="s">
        <v>62</v>
      </c>
      <c r="R51" s="23" t="s">
        <v>63</v>
      </c>
      <c r="S51" s="23" t="s">
        <v>533</v>
      </c>
      <c r="T51" s="23" t="s">
        <v>534</v>
      </c>
      <c r="U51" s="23" t="s">
        <v>535</v>
      </c>
    </row>
    <row r="52" ht="46" customHeight="1" spans="1:21">
      <c r="A52" s="11">
        <v>49</v>
      </c>
      <c r="B52" s="12" t="s">
        <v>536</v>
      </c>
      <c r="C52" s="13" t="s">
        <v>102</v>
      </c>
      <c r="D52" s="11" t="s">
        <v>103</v>
      </c>
      <c r="E52" s="11">
        <v>21</v>
      </c>
      <c r="F52" s="11">
        <v>49</v>
      </c>
      <c r="G52" s="11">
        <v>1440</v>
      </c>
      <c r="H52" s="14" t="s">
        <v>241</v>
      </c>
      <c r="I52" s="18">
        <v>10</v>
      </c>
      <c r="J52" s="19">
        <v>20</v>
      </c>
      <c r="K52" s="18">
        <v>7</v>
      </c>
      <c r="L52" s="18">
        <v>10</v>
      </c>
      <c r="M52" s="18">
        <v>12</v>
      </c>
      <c r="N52" s="21">
        <f t="shared" si="0"/>
        <v>59</v>
      </c>
      <c r="O52" s="22" t="s">
        <v>60</v>
      </c>
      <c r="P52" s="22" t="s">
        <v>339</v>
      </c>
      <c r="Q52" s="22" t="s">
        <v>62</v>
      </c>
      <c r="R52" s="22" t="s">
        <v>63</v>
      </c>
      <c r="S52" s="22" t="s">
        <v>537</v>
      </c>
      <c r="T52" s="22" t="s">
        <v>538</v>
      </c>
      <c r="U52" s="22" t="s">
        <v>539</v>
      </c>
    </row>
    <row r="53" ht="46" customHeight="1" spans="1:21">
      <c r="A53" s="15">
        <v>50</v>
      </c>
      <c r="B53" s="16" t="s">
        <v>540</v>
      </c>
      <c r="C53" s="17" t="s">
        <v>196</v>
      </c>
      <c r="D53" s="15" t="s">
        <v>197</v>
      </c>
      <c r="E53" s="15">
        <v>30</v>
      </c>
      <c r="F53" s="15">
        <v>50</v>
      </c>
      <c r="G53" s="15">
        <v>1420</v>
      </c>
      <c r="H53" s="14" t="s">
        <v>112</v>
      </c>
      <c r="I53" s="18">
        <v>5</v>
      </c>
      <c r="J53" s="20">
        <v>14</v>
      </c>
      <c r="K53" s="18">
        <v>12</v>
      </c>
      <c r="L53" s="20">
        <v>13</v>
      </c>
      <c r="M53" s="18">
        <v>11</v>
      </c>
      <c r="N53" s="21">
        <f t="shared" si="0"/>
        <v>55</v>
      </c>
      <c r="O53" s="23" t="s">
        <v>60</v>
      </c>
      <c r="P53" s="23" t="s">
        <v>180</v>
      </c>
      <c r="Q53" s="23" t="s">
        <v>62</v>
      </c>
      <c r="R53" s="23" t="s">
        <v>63</v>
      </c>
      <c r="S53" s="23" t="s">
        <v>541</v>
      </c>
      <c r="T53" s="23" t="s">
        <v>542</v>
      </c>
      <c r="U53" s="23" t="s">
        <v>543</v>
      </c>
    </row>
  </sheetData>
  <mergeCells count="2">
    <mergeCell ref="A1:U1"/>
    <mergeCell ref="A2:U2"/>
  </mergeCells>
  <conditionalFormatting sqref="N4:N53">
    <cfRule type="colorScale" priority="1">
      <colorScale>
        <cfvo type="min"/>
        <cfvo type="percentile" val="50"/>
        <cfvo type="max"/>
        <color rgb="FFFFE0E0"/>
        <color rgb="FFFFFACC"/>
        <color rgb="FFC8E6C0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D5A1B"/>
  </sheetPr>
  <dimension ref="A1:U22"/>
  <sheetViews>
    <sheetView showGridLines="0" workbookViewId="0">
      <selection activeCell="A1" sqref="A1:T1"/>
    </sheetView>
  </sheetViews>
  <sheetFormatPr defaultColWidth="9" defaultRowHeight="14.4"/>
  <cols>
    <col min="1" max="1" width="22" customWidth="1"/>
    <col min="2" max="21" width="16" customWidth="1"/>
  </cols>
  <sheetData>
    <row r="1" ht="22" customHeight="1" spans="1:1">
      <c r="A1" s="1" t="s">
        <v>544</v>
      </c>
    </row>
    <row r="2" spans="2:21">
      <c r="B2" s="2" t="s">
        <v>545</v>
      </c>
      <c r="C2" s="2" t="s">
        <v>546</v>
      </c>
      <c r="D2" s="2" t="s">
        <v>547</v>
      </c>
      <c r="E2" s="2" t="s">
        <v>548</v>
      </c>
      <c r="F2" s="2" t="s">
        <v>549</v>
      </c>
      <c r="G2" s="2" t="s">
        <v>550</v>
      </c>
      <c r="H2" s="2" t="s">
        <v>551</v>
      </c>
      <c r="I2" s="2" t="s">
        <v>552</v>
      </c>
      <c r="J2" s="2" t="s">
        <v>553</v>
      </c>
      <c r="K2" s="2" t="s">
        <v>554</v>
      </c>
      <c r="L2" s="2" t="s">
        <v>555</v>
      </c>
      <c r="M2" s="2" t="s">
        <v>556</v>
      </c>
      <c r="N2" s="2" t="s">
        <v>557</v>
      </c>
      <c r="O2" s="2" t="s">
        <v>558</v>
      </c>
      <c r="P2" s="2" t="s">
        <v>559</v>
      </c>
      <c r="Q2" s="2" t="s">
        <v>560</v>
      </c>
      <c r="R2" s="2" t="s">
        <v>561</v>
      </c>
      <c r="S2" s="2" t="s">
        <v>562</v>
      </c>
      <c r="T2" s="2" t="s">
        <v>563</v>
      </c>
      <c r="U2" s="2" t="s">
        <v>564</v>
      </c>
    </row>
    <row r="3" ht="28" customHeight="1" spans="1:21">
      <c r="A3" s="3" t="s">
        <v>565</v>
      </c>
      <c r="B3" s="4" t="s">
        <v>566</v>
      </c>
      <c r="C3" s="5" t="s">
        <v>567</v>
      </c>
      <c r="D3" s="5" t="s">
        <v>568</v>
      </c>
      <c r="E3" s="5" t="s">
        <v>569</v>
      </c>
      <c r="F3" s="5" t="s">
        <v>570</v>
      </c>
      <c r="G3" s="5" t="s">
        <v>571</v>
      </c>
      <c r="H3" s="5" t="s">
        <v>572</v>
      </c>
      <c r="I3" s="5" t="s">
        <v>573</v>
      </c>
      <c r="J3" s="5" t="s">
        <v>574</v>
      </c>
      <c r="K3" s="5" t="s">
        <v>572</v>
      </c>
      <c r="L3" s="5" t="s">
        <v>575</v>
      </c>
      <c r="M3" s="5" t="s">
        <v>576</v>
      </c>
      <c r="N3" s="5" t="s">
        <v>577</v>
      </c>
      <c r="O3" s="8" t="s">
        <v>578</v>
      </c>
      <c r="P3" s="5" t="s">
        <v>579</v>
      </c>
      <c r="Q3" s="5" t="s">
        <v>580</v>
      </c>
      <c r="R3" s="8" t="s">
        <v>578</v>
      </c>
      <c r="S3" s="5" t="s">
        <v>580</v>
      </c>
      <c r="T3" s="8" t="s">
        <v>578</v>
      </c>
      <c r="U3" s="5" t="s">
        <v>579</v>
      </c>
    </row>
    <row r="4" ht="28" customHeight="1" spans="1:21">
      <c r="A4" s="3" t="s">
        <v>581</v>
      </c>
      <c r="B4" s="6" t="s">
        <v>582</v>
      </c>
      <c r="C4" s="4" t="s">
        <v>566</v>
      </c>
      <c r="D4" s="5" t="s">
        <v>583</v>
      </c>
      <c r="E4" s="5" t="s">
        <v>584</v>
      </c>
      <c r="F4" s="5" t="s">
        <v>585</v>
      </c>
      <c r="G4" s="5" t="s">
        <v>586</v>
      </c>
      <c r="H4" s="5" t="s">
        <v>587</v>
      </c>
      <c r="I4" s="5" t="s">
        <v>588</v>
      </c>
      <c r="J4" s="5" t="s">
        <v>589</v>
      </c>
      <c r="K4" s="5" t="s">
        <v>590</v>
      </c>
      <c r="L4" s="5" t="s">
        <v>591</v>
      </c>
      <c r="M4" s="5" t="s">
        <v>592</v>
      </c>
      <c r="N4" s="8" t="s">
        <v>578</v>
      </c>
      <c r="O4" s="8" t="s">
        <v>578</v>
      </c>
      <c r="P4" s="8" t="s">
        <v>578</v>
      </c>
      <c r="Q4" s="5" t="s">
        <v>593</v>
      </c>
      <c r="R4" s="8" t="s">
        <v>578</v>
      </c>
      <c r="S4" s="5" t="s">
        <v>594</v>
      </c>
      <c r="T4" s="8" t="s">
        <v>578</v>
      </c>
      <c r="U4" s="5" t="s">
        <v>595</v>
      </c>
    </row>
    <row r="5" ht="28" customHeight="1" spans="1:21">
      <c r="A5" s="3" t="s">
        <v>596</v>
      </c>
      <c r="B5" s="6" t="s">
        <v>597</v>
      </c>
      <c r="C5" s="6" t="s">
        <v>598</v>
      </c>
      <c r="D5" s="4" t="s">
        <v>566</v>
      </c>
      <c r="E5" s="5" t="s">
        <v>599</v>
      </c>
      <c r="F5" s="8" t="s">
        <v>578</v>
      </c>
      <c r="G5" s="5" t="s">
        <v>572</v>
      </c>
      <c r="H5" s="5" t="s">
        <v>600</v>
      </c>
      <c r="I5" s="8" t="s">
        <v>578</v>
      </c>
      <c r="J5" s="5" t="s">
        <v>589</v>
      </c>
      <c r="K5" s="5" t="s">
        <v>601</v>
      </c>
      <c r="L5" s="5" t="s">
        <v>579</v>
      </c>
      <c r="M5" s="5" t="s">
        <v>602</v>
      </c>
      <c r="N5" s="8" t="s">
        <v>578</v>
      </c>
      <c r="O5" s="8" t="s">
        <v>578</v>
      </c>
      <c r="P5" s="8" t="s">
        <v>578</v>
      </c>
      <c r="Q5" s="8" t="s">
        <v>578</v>
      </c>
      <c r="R5" s="8" t="s">
        <v>578</v>
      </c>
      <c r="S5" s="5" t="s">
        <v>603</v>
      </c>
      <c r="T5" s="8" t="s">
        <v>578</v>
      </c>
      <c r="U5" s="5" t="s">
        <v>571</v>
      </c>
    </row>
    <row r="6" ht="28" customHeight="1" spans="1:21">
      <c r="A6" s="3" t="s">
        <v>604</v>
      </c>
      <c r="B6" s="6" t="s">
        <v>605</v>
      </c>
      <c r="C6" s="6" t="s">
        <v>606</v>
      </c>
      <c r="D6" s="6" t="s">
        <v>607</v>
      </c>
      <c r="E6" s="4" t="s">
        <v>566</v>
      </c>
      <c r="F6" s="8" t="s">
        <v>578</v>
      </c>
      <c r="G6" s="8" t="s">
        <v>578</v>
      </c>
      <c r="H6" s="8" t="s">
        <v>578</v>
      </c>
      <c r="I6" s="8" t="s">
        <v>578</v>
      </c>
      <c r="J6" s="8" t="s">
        <v>578</v>
      </c>
      <c r="K6" s="8" t="s">
        <v>578</v>
      </c>
      <c r="L6" s="8" t="s">
        <v>578</v>
      </c>
      <c r="M6" s="8" t="s">
        <v>578</v>
      </c>
      <c r="N6" s="8" t="s">
        <v>578</v>
      </c>
      <c r="O6" s="8" t="s">
        <v>578</v>
      </c>
      <c r="P6" s="8" t="s">
        <v>578</v>
      </c>
      <c r="Q6" s="8" t="s">
        <v>578</v>
      </c>
      <c r="R6" s="8" t="s">
        <v>578</v>
      </c>
      <c r="S6" s="8" t="s">
        <v>578</v>
      </c>
      <c r="T6" s="8" t="s">
        <v>578</v>
      </c>
      <c r="U6" s="8" t="s">
        <v>578</v>
      </c>
    </row>
    <row r="7" ht="28" customHeight="1" spans="1:21">
      <c r="A7" s="3" t="s">
        <v>608</v>
      </c>
      <c r="B7" s="6" t="s">
        <v>609</v>
      </c>
      <c r="C7" s="6" t="s">
        <v>610</v>
      </c>
      <c r="D7" s="8" t="s">
        <v>578</v>
      </c>
      <c r="E7" s="8" t="s">
        <v>578</v>
      </c>
      <c r="F7" s="4" t="s">
        <v>566</v>
      </c>
      <c r="G7" s="8" t="s">
        <v>578</v>
      </c>
      <c r="H7" s="8" t="s">
        <v>578</v>
      </c>
      <c r="I7" s="8" t="s">
        <v>578</v>
      </c>
      <c r="J7" s="8" t="s">
        <v>578</v>
      </c>
      <c r="K7" s="8" t="s">
        <v>578</v>
      </c>
      <c r="L7" s="8" t="s">
        <v>578</v>
      </c>
      <c r="M7" s="8" t="s">
        <v>578</v>
      </c>
      <c r="N7" s="8" t="s">
        <v>578</v>
      </c>
      <c r="O7" s="8" t="s">
        <v>578</v>
      </c>
      <c r="P7" s="8" t="s">
        <v>578</v>
      </c>
      <c r="Q7" s="8" t="s">
        <v>578</v>
      </c>
      <c r="R7" s="8" t="s">
        <v>578</v>
      </c>
      <c r="S7" s="8" t="s">
        <v>578</v>
      </c>
      <c r="T7" s="8" t="s">
        <v>578</v>
      </c>
      <c r="U7" s="8" t="s">
        <v>578</v>
      </c>
    </row>
    <row r="8" ht="28" customHeight="1" spans="1:21">
      <c r="A8" s="3" t="s">
        <v>611</v>
      </c>
      <c r="B8" s="6" t="s">
        <v>612</v>
      </c>
      <c r="C8" s="6" t="s">
        <v>613</v>
      </c>
      <c r="D8" s="6" t="s">
        <v>614</v>
      </c>
      <c r="E8" s="8" t="s">
        <v>578</v>
      </c>
      <c r="F8" s="8" t="s">
        <v>578</v>
      </c>
      <c r="G8" s="4" t="s">
        <v>566</v>
      </c>
      <c r="H8" s="8" t="s">
        <v>578</v>
      </c>
      <c r="I8" s="8" t="s">
        <v>578</v>
      </c>
      <c r="J8" s="8" t="s">
        <v>578</v>
      </c>
      <c r="K8" s="8" t="s">
        <v>578</v>
      </c>
      <c r="L8" s="8" t="s">
        <v>578</v>
      </c>
      <c r="M8" s="8" t="s">
        <v>578</v>
      </c>
      <c r="N8" s="8" t="s">
        <v>578</v>
      </c>
      <c r="O8" s="8" t="s">
        <v>578</v>
      </c>
      <c r="P8" s="8" t="s">
        <v>578</v>
      </c>
      <c r="Q8" s="8" t="s">
        <v>578</v>
      </c>
      <c r="R8" s="8" t="s">
        <v>578</v>
      </c>
      <c r="S8" s="8" t="s">
        <v>578</v>
      </c>
      <c r="T8" s="8" t="s">
        <v>578</v>
      </c>
      <c r="U8" s="8" t="s">
        <v>578</v>
      </c>
    </row>
    <row r="9" ht="28" customHeight="1" spans="1:21">
      <c r="A9" s="3" t="s">
        <v>615</v>
      </c>
      <c r="B9" s="6" t="s">
        <v>614</v>
      </c>
      <c r="C9" s="6" t="s">
        <v>616</v>
      </c>
      <c r="D9" s="6" t="s">
        <v>617</v>
      </c>
      <c r="E9" s="8" t="s">
        <v>578</v>
      </c>
      <c r="F9" s="8" t="s">
        <v>578</v>
      </c>
      <c r="G9" s="8" t="s">
        <v>578</v>
      </c>
      <c r="H9" s="4" t="s">
        <v>566</v>
      </c>
      <c r="I9" s="8" t="s">
        <v>578</v>
      </c>
      <c r="J9" s="8" t="s">
        <v>578</v>
      </c>
      <c r="K9" s="8" t="s">
        <v>578</v>
      </c>
      <c r="L9" s="8" t="s">
        <v>578</v>
      </c>
      <c r="M9" s="8" t="s">
        <v>578</v>
      </c>
      <c r="N9" s="8" t="s">
        <v>578</v>
      </c>
      <c r="O9" s="8" t="s">
        <v>578</v>
      </c>
      <c r="P9" s="8" t="s">
        <v>578</v>
      </c>
      <c r="Q9" s="8" t="s">
        <v>578</v>
      </c>
      <c r="R9" s="8" t="s">
        <v>578</v>
      </c>
      <c r="S9" s="8" t="s">
        <v>578</v>
      </c>
      <c r="T9" s="8" t="s">
        <v>578</v>
      </c>
      <c r="U9" s="8" t="s">
        <v>578</v>
      </c>
    </row>
    <row r="10" ht="28" customHeight="1" spans="1:21">
      <c r="A10" s="3" t="s">
        <v>618</v>
      </c>
      <c r="B10" s="6" t="s">
        <v>619</v>
      </c>
      <c r="C10" s="6" t="s">
        <v>620</v>
      </c>
      <c r="D10" s="8" t="s">
        <v>578</v>
      </c>
      <c r="E10" s="8" t="s">
        <v>578</v>
      </c>
      <c r="F10" s="8" t="s">
        <v>578</v>
      </c>
      <c r="G10" s="8" t="s">
        <v>578</v>
      </c>
      <c r="H10" s="8" t="s">
        <v>578</v>
      </c>
      <c r="I10" s="4" t="s">
        <v>566</v>
      </c>
      <c r="J10" s="8" t="s">
        <v>578</v>
      </c>
      <c r="K10" s="8" t="s">
        <v>578</v>
      </c>
      <c r="L10" s="8" t="s">
        <v>578</v>
      </c>
      <c r="M10" s="8" t="s">
        <v>578</v>
      </c>
      <c r="N10" s="8" t="s">
        <v>578</v>
      </c>
      <c r="O10" s="8" t="s">
        <v>578</v>
      </c>
      <c r="P10" s="8" t="s">
        <v>578</v>
      </c>
      <c r="Q10" s="8" t="s">
        <v>578</v>
      </c>
      <c r="R10" s="8" t="s">
        <v>578</v>
      </c>
      <c r="S10" s="8" t="s">
        <v>578</v>
      </c>
      <c r="T10" s="8" t="s">
        <v>578</v>
      </c>
      <c r="U10" s="8" t="s">
        <v>578</v>
      </c>
    </row>
    <row r="11" ht="28" customHeight="1" spans="1:21">
      <c r="A11" s="3" t="s">
        <v>621</v>
      </c>
      <c r="B11" s="6" t="s">
        <v>622</v>
      </c>
      <c r="C11" s="6" t="s">
        <v>623</v>
      </c>
      <c r="D11" s="6" t="s">
        <v>623</v>
      </c>
      <c r="E11" s="8" t="s">
        <v>578</v>
      </c>
      <c r="F11" s="8" t="s">
        <v>578</v>
      </c>
      <c r="G11" s="8" t="s">
        <v>578</v>
      </c>
      <c r="H11" s="8" t="s">
        <v>578</v>
      </c>
      <c r="I11" s="8" t="s">
        <v>578</v>
      </c>
      <c r="J11" s="4" t="s">
        <v>566</v>
      </c>
      <c r="K11" s="8" t="s">
        <v>578</v>
      </c>
      <c r="L11" s="8" t="s">
        <v>578</v>
      </c>
      <c r="M11" s="8" t="s">
        <v>578</v>
      </c>
      <c r="N11" s="8" t="s">
        <v>578</v>
      </c>
      <c r="O11" s="8" t="s">
        <v>578</v>
      </c>
      <c r="P11" s="8" t="s">
        <v>578</v>
      </c>
      <c r="Q11" s="8" t="s">
        <v>578</v>
      </c>
      <c r="R11" s="8" t="s">
        <v>578</v>
      </c>
      <c r="S11" s="8" t="s">
        <v>578</v>
      </c>
      <c r="T11" s="8" t="s">
        <v>578</v>
      </c>
      <c r="U11" s="8" t="s">
        <v>578</v>
      </c>
    </row>
    <row r="12" ht="28" customHeight="1" spans="1:21">
      <c r="A12" s="3" t="s">
        <v>624</v>
      </c>
      <c r="B12" s="6" t="s">
        <v>614</v>
      </c>
      <c r="C12" s="6" t="s">
        <v>625</v>
      </c>
      <c r="D12" s="6" t="s">
        <v>626</v>
      </c>
      <c r="E12" s="8" t="s">
        <v>578</v>
      </c>
      <c r="F12" s="8" t="s">
        <v>578</v>
      </c>
      <c r="G12" s="8" t="s">
        <v>578</v>
      </c>
      <c r="H12" s="8" t="s">
        <v>578</v>
      </c>
      <c r="I12" s="8" t="s">
        <v>578</v>
      </c>
      <c r="J12" s="8" t="s">
        <v>578</v>
      </c>
      <c r="K12" s="4" t="s">
        <v>566</v>
      </c>
      <c r="L12" s="8" t="s">
        <v>578</v>
      </c>
      <c r="M12" s="8" t="s">
        <v>578</v>
      </c>
      <c r="N12" s="8" t="s">
        <v>578</v>
      </c>
      <c r="O12" s="8" t="s">
        <v>578</v>
      </c>
      <c r="P12" s="8" t="s">
        <v>578</v>
      </c>
      <c r="Q12" s="8" t="s">
        <v>578</v>
      </c>
      <c r="R12" s="8" t="s">
        <v>578</v>
      </c>
      <c r="S12" s="8" t="s">
        <v>578</v>
      </c>
      <c r="T12" s="8" t="s">
        <v>578</v>
      </c>
      <c r="U12" s="8" t="s">
        <v>578</v>
      </c>
    </row>
    <row r="13" ht="28" customHeight="1" spans="1:21">
      <c r="A13" s="3" t="s">
        <v>627</v>
      </c>
      <c r="B13" s="6" t="s">
        <v>628</v>
      </c>
      <c r="C13" s="6" t="s">
        <v>629</v>
      </c>
      <c r="D13" s="6" t="s">
        <v>630</v>
      </c>
      <c r="E13" s="8" t="s">
        <v>578</v>
      </c>
      <c r="F13" s="8" t="s">
        <v>578</v>
      </c>
      <c r="G13" s="8" t="s">
        <v>578</v>
      </c>
      <c r="H13" s="8" t="s">
        <v>578</v>
      </c>
      <c r="I13" s="8" t="s">
        <v>578</v>
      </c>
      <c r="J13" s="8" t="s">
        <v>578</v>
      </c>
      <c r="K13" s="8" t="s">
        <v>578</v>
      </c>
      <c r="L13" s="4" t="s">
        <v>566</v>
      </c>
      <c r="M13" s="8" t="s">
        <v>578</v>
      </c>
      <c r="N13" s="8" t="s">
        <v>578</v>
      </c>
      <c r="O13" s="8" t="s">
        <v>578</v>
      </c>
      <c r="P13" s="8" t="s">
        <v>578</v>
      </c>
      <c r="Q13" s="8" t="s">
        <v>578</v>
      </c>
      <c r="R13" s="8" t="s">
        <v>578</v>
      </c>
      <c r="S13" s="8" t="s">
        <v>578</v>
      </c>
      <c r="T13" s="8" t="s">
        <v>578</v>
      </c>
      <c r="U13" s="8" t="s">
        <v>578</v>
      </c>
    </row>
    <row r="14" ht="28" customHeight="1" spans="1:21">
      <c r="A14" s="3" t="s">
        <v>631</v>
      </c>
      <c r="B14" s="6" t="s">
        <v>632</v>
      </c>
      <c r="C14" s="6" t="s">
        <v>633</v>
      </c>
      <c r="D14" s="6" t="s">
        <v>634</v>
      </c>
      <c r="E14" s="8" t="s">
        <v>578</v>
      </c>
      <c r="F14" s="8" t="s">
        <v>578</v>
      </c>
      <c r="G14" s="8" t="s">
        <v>578</v>
      </c>
      <c r="H14" s="8" t="s">
        <v>578</v>
      </c>
      <c r="I14" s="8" t="s">
        <v>578</v>
      </c>
      <c r="J14" s="8" t="s">
        <v>578</v>
      </c>
      <c r="K14" s="8" t="s">
        <v>578</v>
      </c>
      <c r="L14" s="8" t="s">
        <v>578</v>
      </c>
      <c r="M14" s="4" t="s">
        <v>566</v>
      </c>
      <c r="N14" s="8" t="s">
        <v>578</v>
      </c>
      <c r="O14" s="8" t="s">
        <v>578</v>
      </c>
      <c r="P14" s="8" t="s">
        <v>578</v>
      </c>
      <c r="Q14" s="8" t="s">
        <v>578</v>
      </c>
      <c r="R14" s="8" t="s">
        <v>578</v>
      </c>
      <c r="S14" s="8" t="s">
        <v>578</v>
      </c>
      <c r="T14" s="8" t="s">
        <v>578</v>
      </c>
      <c r="U14" s="8" t="s">
        <v>578</v>
      </c>
    </row>
    <row r="15" ht="28" customHeight="1" spans="1:21">
      <c r="A15" s="3" t="s">
        <v>635</v>
      </c>
      <c r="B15" s="6" t="s">
        <v>636</v>
      </c>
      <c r="C15" s="8" t="s">
        <v>578</v>
      </c>
      <c r="D15" s="8" t="s">
        <v>578</v>
      </c>
      <c r="E15" s="8" t="s">
        <v>578</v>
      </c>
      <c r="F15" s="8" t="s">
        <v>578</v>
      </c>
      <c r="G15" s="8" t="s">
        <v>578</v>
      </c>
      <c r="H15" s="8" t="s">
        <v>578</v>
      </c>
      <c r="I15" s="8" t="s">
        <v>578</v>
      </c>
      <c r="J15" s="8" t="s">
        <v>578</v>
      </c>
      <c r="K15" s="8" t="s">
        <v>578</v>
      </c>
      <c r="L15" s="8" t="s">
        <v>578</v>
      </c>
      <c r="M15" s="8" t="s">
        <v>578</v>
      </c>
      <c r="N15" s="4" t="s">
        <v>566</v>
      </c>
      <c r="O15" s="8" t="s">
        <v>578</v>
      </c>
      <c r="P15" s="8" t="s">
        <v>578</v>
      </c>
      <c r="Q15" s="8" t="s">
        <v>578</v>
      </c>
      <c r="R15" s="8" t="s">
        <v>578</v>
      </c>
      <c r="S15" s="8" t="s">
        <v>578</v>
      </c>
      <c r="T15" s="8" t="s">
        <v>578</v>
      </c>
      <c r="U15" s="8" t="s">
        <v>578</v>
      </c>
    </row>
    <row r="16" ht="28" customHeight="1" spans="1:21">
      <c r="A16" s="3" t="s">
        <v>637</v>
      </c>
      <c r="B16" s="8" t="s">
        <v>578</v>
      </c>
      <c r="C16" s="8" t="s">
        <v>578</v>
      </c>
      <c r="D16" s="8" t="s">
        <v>578</v>
      </c>
      <c r="E16" s="8" t="s">
        <v>578</v>
      </c>
      <c r="F16" s="8" t="s">
        <v>578</v>
      </c>
      <c r="G16" s="8" t="s">
        <v>578</v>
      </c>
      <c r="H16" s="8" t="s">
        <v>578</v>
      </c>
      <c r="I16" s="8" t="s">
        <v>578</v>
      </c>
      <c r="J16" s="8" t="s">
        <v>578</v>
      </c>
      <c r="K16" s="8" t="s">
        <v>578</v>
      </c>
      <c r="L16" s="8" t="s">
        <v>578</v>
      </c>
      <c r="M16" s="8" t="s">
        <v>578</v>
      </c>
      <c r="N16" s="8" t="s">
        <v>578</v>
      </c>
      <c r="O16" s="4" t="s">
        <v>566</v>
      </c>
      <c r="P16" s="8" t="s">
        <v>578</v>
      </c>
      <c r="Q16" s="8" t="s">
        <v>578</v>
      </c>
      <c r="R16" s="8" t="s">
        <v>578</v>
      </c>
      <c r="S16" s="8" t="s">
        <v>578</v>
      </c>
      <c r="T16" s="8" t="s">
        <v>578</v>
      </c>
      <c r="U16" s="8" t="s">
        <v>578</v>
      </c>
    </row>
    <row r="17" ht="28" customHeight="1" spans="1:21">
      <c r="A17" s="3" t="s">
        <v>638</v>
      </c>
      <c r="B17" s="6" t="s">
        <v>630</v>
      </c>
      <c r="C17" s="8" t="s">
        <v>578</v>
      </c>
      <c r="D17" s="8" t="s">
        <v>578</v>
      </c>
      <c r="E17" s="8" t="s">
        <v>578</v>
      </c>
      <c r="F17" s="8" t="s">
        <v>578</v>
      </c>
      <c r="G17" s="8" t="s">
        <v>578</v>
      </c>
      <c r="H17" s="8" t="s">
        <v>578</v>
      </c>
      <c r="I17" s="8" t="s">
        <v>578</v>
      </c>
      <c r="J17" s="8" t="s">
        <v>578</v>
      </c>
      <c r="K17" s="8" t="s">
        <v>578</v>
      </c>
      <c r="L17" s="8" t="s">
        <v>578</v>
      </c>
      <c r="M17" s="8" t="s">
        <v>578</v>
      </c>
      <c r="N17" s="8" t="s">
        <v>578</v>
      </c>
      <c r="O17" s="8" t="s">
        <v>578</v>
      </c>
      <c r="P17" s="4" t="s">
        <v>566</v>
      </c>
      <c r="Q17" s="8" t="s">
        <v>578</v>
      </c>
      <c r="R17" s="8" t="s">
        <v>578</v>
      </c>
      <c r="S17" s="8" t="s">
        <v>578</v>
      </c>
      <c r="T17" s="8" t="s">
        <v>578</v>
      </c>
      <c r="U17" s="8" t="s">
        <v>578</v>
      </c>
    </row>
    <row r="18" ht="28" customHeight="1" spans="1:21">
      <c r="A18" s="3" t="s">
        <v>639</v>
      </c>
      <c r="B18" s="6" t="s">
        <v>640</v>
      </c>
      <c r="C18" s="6" t="s">
        <v>641</v>
      </c>
      <c r="D18" s="8" t="s">
        <v>578</v>
      </c>
      <c r="E18" s="8" t="s">
        <v>578</v>
      </c>
      <c r="F18" s="8" t="s">
        <v>578</v>
      </c>
      <c r="G18" s="8" t="s">
        <v>578</v>
      </c>
      <c r="H18" s="8" t="s">
        <v>578</v>
      </c>
      <c r="I18" s="8" t="s">
        <v>578</v>
      </c>
      <c r="J18" s="8" t="s">
        <v>578</v>
      </c>
      <c r="K18" s="8" t="s">
        <v>578</v>
      </c>
      <c r="L18" s="8" t="s">
        <v>578</v>
      </c>
      <c r="M18" s="8" t="s">
        <v>578</v>
      </c>
      <c r="N18" s="8" t="s">
        <v>578</v>
      </c>
      <c r="O18" s="8" t="s">
        <v>578</v>
      </c>
      <c r="P18" s="8" t="s">
        <v>578</v>
      </c>
      <c r="Q18" s="4" t="s">
        <v>566</v>
      </c>
      <c r="R18" s="8" t="s">
        <v>578</v>
      </c>
      <c r="S18" s="8" t="s">
        <v>578</v>
      </c>
      <c r="T18" s="8" t="s">
        <v>578</v>
      </c>
      <c r="U18" s="8" t="s">
        <v>578</v>
      </c>
    </row>
    <row r="19" ht="28" customHeight="1" spans="1:21">
      <c r="A19" s="3" t="s">
        <v>642</v>
      </c>
      <c r="B19" s="8" t="s">
        <v>578</v>
      </c>
      <c r="C19" s="8" t="s">
        <v>578</v>
      </c>
      <c r="D19" s="8" t="s">
        <v>578</v>
      </c>
      <c r="E19" s="8" t="s">
        <v>578</v>
      </c>
      <c r="F19" s="8" t="s">
        <v>578</v>
      </c>
      <c r="G19" s="8" t="s">
        <v>578</v>
      </c>
      <c r="H19" s="8" t="s">
        <v>578</v>
      </c>
      <c r="I19" s="8" t="s">
        <v>578</v>
      </c>
      <c r="J19" s="8" t="s">
        <v>578</v>
      </c>
      <c r="K19" s="8" t="s">
        <v>578</v>
      </c>
      <c r="L19" s="8" t="s">
        <v>578</v>
      </c>
      <c r="M19" s="8" t="s">
        <v>578</v>
      </c>
      <c r="N19" s="8" t="s">
        <v>578</v>
      </c>
      <c r="O19" s="8" t="s">
        <v>578</v>
      </c>
      <c r="P19" s="8" t="s">
        <v>578</v>
      </c>
      <c r="Q19" s="8" t="s">
        <v>578</v>
      </c>
      <c r="R19" s="4" t="s">
        <v>566</v>
      </c>
      <c r="S19" s="8" t="s">
        <v>578</v>
      </c>
      <c r="T19" s="8" t="s">
        <v>578</v>
      </c>
      <c r="U19" s="8" t="s">
        <v>578</v>
      </c>
    </row>
    <row r="20" ht="28" customHeight="1" spans="1:21">
      <c r="A20" s="3" t="s">
        <v>643</v>
      </c>
      <c r="B20" s="6" t="s">
        <v>640</v>
      </c>
      <c r="C20" s="6" t="s">
        <v>644</v>
      </c>
      <c r="D20" s="6" t="s">
        <v>645</v>
      </c>
      <c r="E20" s="8" t="s">
        <v>578</v>
      </c>
      <c r="F20" s="8" t="s">
        <v>578</v>
      </c>
      <c r="G20" s="8" t="s">
        <v>578</v>
      </c>
      <c r="H20" s="8" t="s">
        <v>578</v>
      </c>
      <c r="I20" s="8" t="s">
        <v>578</v>
      </c>
      <c r="J20" s="8" t="s">
        <v>578</v>
      </c>
      <c r="K20" s="8" t="s">
        <v>578</v>
      </c>
      <c r="L20" s="8" t="s">
        <v>578</v>
      </c>
      <c r="M20" s="8" t="s">
        <v>578</v>
      </c>
      <c r="N20" s="8" t="s">
        <v>578</v>
      </c>
      <c r="O20" s="8" t="s">
        <v>578</v>
      </c>
      <c r="P20" s="8" t="s">
        <v>578</v>
      </c>
      <c r="Q20" s="8" t="s">
        <v>578</v>
      </c>
      <c r="R20" s="8" t="s">
        <v>578</v>
      </c>
      <c r="S20" s="4" t="s">
        <v>566</v>
      </c>
      <c r="T20" s="8" t="s">
        <v>578</v>
      </c>
      <c r="U20" s="8" t="s">
        <v>578</v>
      </c>
    </row>
    <row r="21" ht="28" customHeight="1" spans="1:21">
      <c r="A21" s="3" t="s">
        <v>646</v>
      </c>
      <c r="B21" s="8" t="s">
        <v>578</v>
      </c>
      <c r="C21" s="8" t="s">
        <v>578</v>
      </c>
      <c r="D21" s="8" t="s">
        <v>578</v>
      </c>
      <c r="E21" s="8" t="s">
        <v>578</v>
      </c>
      <c r="F21" s="8" t="s">
        <v>578</v>
      </c>
      <c r="G21" s="8" t="s">
        <v>578</v>
      </c>
      <c r="H21" s="8" t="s">
        <v>578</v>
      </c>
      <c r="I21" s="8" t="s">
        <v>578</v>
      </c>
      <c r="J21" s="8" t="s">
        <v>578</v>
      </c>
      <c r="K21" s="8" t="s">
        <v>578</v>
      </c>
      <c r="L21" s="8" t="s">
        <v>578</v>
      </c>
      <c r="M21" s="8" t="s">
        <v>578</v>
      </c>
      <c r="N21" s="8" t="s">
        <v>578</v>
      </c>
      <c r="O21" s="8" t="s">
        <v>578</v>
      </c>
      <c r="P21" s="8" t="s">
        <v>578</v>
      </c>
      <c r="Q21" s="8" t="s">
        <v>578</v>
      </c>
      <c r="R21" s="8" t="s">
        <v>578</v>
      </c>
      <c r="S21" s="8" t="s">
        <v>578</v>
      </c>
      <c r="T21" s="4" t="s">
        <v>566</v>
      </c>
      <c r="U21" s="8" t="s">
        <v>578</v>
      </c>
    </row>
    <row r="22" ht="28" customHeight="1" spans="1:21">
      <c r="A22" s="3" t="s">
        <v>647</v>
      </c>
      <c r="B22" s="6" t="s">
        <v>630</v>
      </c>
      <c r="C22" s="6" t="s">
        <v>648</v>
      </c>
      <c r="D22" s="6" t="s">
        <v>612</v>
      </c>
      <c r="E22" s="8" t="s">
        <v>578</v>
      </c>
      <c r="F22" s="8" t="s">
        <v>578</v>
      </c>
      <c r="G22" s="8" t="s">
        <v>578</v>
      </c>
      <c r="H22" s="8" t="s">
        <v>578</v>
      </c>
      <c r="I22" s="8" t="s">
        <v>578</v>
      </c>
      <c r="J22" s="8" t="s">
        <v>578</v>
      </c>
      <c r="K22" s="8" t="s">
        <v>578</v>
      </c>
      <c r="L22" s="8" t="s">
        <v>578</v>
      </c>
      <c r="M22" s="8" t="s">
        <v>578</v>
      </c>
      <c r="N22" s="8" t="s">
        <v>578</v>
      </c>
      <c r="O22" s="8" t="s">
        <v>578</v>
      </c>
      <c r="P22" s="8" t="s">
        <v>578</v>
      </c>
      <c r="Q22" s="8" t="s">
        <v>578</v>
      </c>
      <c r="R22" s="8" t="s">
        <v>578</v>
      </c>
      <c r="S22" s="8" t="s">
        <v>578</v>
      </c>
      <c r="T22" s="8" t="s">
        <v>578</v>
      </c>
      <c r="U22" s="4" t="s">
        <v>566</v>
      </c>
    </row>
  </sheetData>
  <mergeCells count="1">
    <mergeCell ref="A1:T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D5A1B"/>
  </sheetPr>
  <dimension ref="A1:Q17"/>
  <sheetViews>
    <sheetView showGridLines="0" workbookViewId="0">
      <selection activeCell="A1" sqref="A1:Q1"/>
    </sheetView>
  </sheetViews>
  <sheetFormatPr defaultColWidth="9" defaultRowHeight="14.4"/>
  <cols>
    <col min="1" max="1" width="22" customWidth="1"/>
    <col min="2" max="16" width="16" customWidth="1"/>
  </cols>
  <sheetData>
    <row r="1" ht="22" customHeight="1" spans="1:1">
      <c r="A1" s="1" t="s">
        <v>649</v>
      </c>
    </row>
    <row r="2" spans="2:16">
      <c r="B2" s="2" t="s">
        <v>650</v>
      </c>
      <c r="C2" s="2" t="s">
        <v>651</v>
      </c>
      <c r="D2" s="2" t="s">
        <v>652</v>
      </c>
      <c r="E2" s="2" t="s">
        <v>653</v>
      </c>
      <c r="F2" s="2" t="s">
        <v>654</v>
      </c>
      <c r="G2" s="2" t="s">
        <v>655</v>
      </c>
      <c r="H2" s="2" t="s">
        <v>656</v>
      </c>
      <c r="I2" s="2" t="s">
        <v>657</v>
      </c>
      <c r="J2" s="2" t="s">
        <v>658</v>
      </c>
      <c r="K2" s="2" t="s">
        <v>659</v>
      </c>
      <c r="L2" s="2" t="s">
        <v>660</v>
      </c>
      <c r="M2" s="2" t="s">
        <v>661</v>
      </c>
      <c r="N2" s="2" t="s">
        <v>662</v>
      </c>
      <c r="O2" s="2" t="s">
        <v>663</v>
      </c>
      <c r="P2" s="2" t="s">
        <v>664</v>
      </c>
    </row>
    <row r="3" ht="28" customHeight="1" spans="1:16">
      <c r="A3" s="3" t="s">
        <v>665</v>
      </c>
      <c r="B3" s="4" t="s">
        <v>566</v>
      </c>
      <c r="C3" s="5" t="s">
        <v>666</v>
      </c>
      <c r="D3" s="6" t="s">
        <v>667</v>
      </c>
      <c r="E3" s="7" t="s">
        <v>668</v>
      </c>
      <c r="F3" s="5" t="s">
        <v>669</v>
      </c>
      <c r="G3" s="6" t="s">
        <v>670</v>
      </c>
      <c r="H3" s="5" t="s">
        <v>671</v>
      </c>
      <c r="I3" s="5" t="s">
        <v>672</v>
      </c>
      <c r="J3" s="5" t="s">
        <v>673</v>
      </c>
      <c r="K3" s="5" t="s">
        <v>674</v>
      </c>
      <c r="L3" s="8" t="s">
        <v>578</v>
      </c>
      <c r="M3" s="5" t="s">
        <v>675</v>
      </c>
      <c r="N3" s="5" t="s">
        <v>676</v>
      </c>
      <c r="O3" s="5" t="s">
        <v>677</v>
      </c>
      <c r="P3" s="5" t="s">
        <v>678</v>
      </c>
    </row>
    <row r="4" ht="28" customHeight="1" spans="1:16">
      <c r="A4" s="3" t="s">
        <v>679</v>
      </c>
      <c r="B4" s="6" t="s">
        <v>680</v>
      </c>
      <c r="C4" s="4" t="s">
        <v>566</v>
      </c>
      <c r="D4" s="7" t="s">
        <v>681</v>
      </c>
      <c r="E4" s="5" t="s">
        <v>682</v>
      </c>
      <c r="F4" s="5" t="s">
        <v>683</v>
      </c>
      <c r="G4" s="7" t="s">
        <v>684</v>
      </c>
      <c r="H4" s="5" t="s">
        <v>685</v>
      </c>
      <c r="I4" s="5" t="s">
        <v>685</v>
      </c>
      <c r="J4" s="8" t="s">
        <v>578</v>
      </c>
      <c r="K4" s="5" t="s">
        <v>686</v>
      </c>
      <c r="L4" s="8" t="s">
        <v>578</v>
      </c>
      <c r="M4" s="5" t="s">
        <v>687</v>
      </c>
      <c r="N4" s="5" t="s">
        <v>688</v>
      </c>
      <c r="O4" s="5" t="s">
        <v>689</v>
      </c>
      <c r="P4" s="5" t="s">
        <v>690</v>
      </c>
    </row>
    <row r="5" ht="28" customHeight="1" spans="1:16">
      <c r="A5" s="3" t="s">
        <v>691</v>
      </c>
      <c r="B5" s="5" t="s">
        <v>692</v>
      </c>
      <c r="C5" s="7" t="s">
        <v>693</v>
      </c>
      <c r="D5" s="4" t="s">
        <v>566</v>
      </c>
      <c r="E5" s="5" t="s">
        <v>694</v>
      </c>
      <c r="F5" s="5" t="s">
        <v>695</v>
      </c>
      <c r="G5" s="5" t="s">
        <v>696</v>
      </c>
      <c r="H5" s="5" t="s">
        <v>697</v>
      </c>
      <c r="I5" s="5" t="s">
        <v>698</v>
      </c>
      <c r="J5" s="8" t="s">
        <v>578</v>
      </c>
      <c r="K5" s="5" t="s">
        <v>699</v>
      </c>
      <c r="L5" s="8" t="s">
        <v>578</v>
      </c>
      <c r="M5" s="5" t="s">
        <v>700</v>
      </c>
      <c r="N5" s="6" t="s">
        <v>701</v>
      </c>
      <c r="O5" s="5" t="s">
        <v>702</v>
      </c>
      <c r="P5" s="5" t="s">
        <v>703</v>
      </c>
    </row>
    <row r="6" ht="28" customHeight="1" spans="1:16">
      <c r="A6" s="3" t="s">
        <v>704</v>
      </c>
      <c r="B6" s="7" t="s">
        <v>668</v>
      </c>
      <c r="C6" s="6" t="s">
        <v>705</v>
      </c>
      <c r="D6" s="6" t="s">
        <v>706</v>
      </c>
      <c r="E6" s="4" t="s">
        <v>566</v>
      </c>
      <c r="F6" s="5" t="s">
        <v>707</v>
      </c>
      <c r="G6" s="5" t="s">
        <v>574</v>
      </c>
      <c r="H6" s="5" t="s">
        <v>708</v>
      </c>
      <c r="I6" s="5" t="s">
        <v>709</v>
      </c>
      <c r="J6" s="8" t="s">
        <v>578</v>
      </c>
      <c r="K6" s="7" t="s">
        <v>710</v>
      </c>
      <c r="L6" s="8" t="s">
        <v>578</v>
      </c>
      <c r="M6" s="5" t="s">
        <v>711</v>
      </c>
      <c r="N6" s="7" t="s">
        <v>712</v>
      </c>
      <c r="O6" s="7" t="s">
        <v>684</v>
      </c>
      <c r="P6" s="5" t="s">
        <v>711</v>
      </c>
    </row>
    <row r="7" ht="28" customHeight="1" spans="1:16">
      <c r="A7" s="3" t="s">
        <v>713</v>
      </c>
      <c r="B7" s="6" t="s">
        <v>714</v>
      </c>
      <c r="C7" s="6" t="s">
        <v>715</v>
      </c>
      <c r="D7" s="6" t="s">
        <v>716</v>
      </c>
      <c r="E7" s="6" t="s">
        <v>717</v>
      </c>
      <c r="F7" s="4" t="s">
        <v>566</v>
      </c>
      <c r="G7" s="6" t="s">
        <v>718</v>
      </c>
      <c r="H7" s="8" t="s">
        <v>578</v>
      </c>
      <c r="I7" s="8" t="s">
        <v>578</v>
      </c>
      <c r="J7" s="8" t="s">
        <v>578</v>
      </c>
      <c r="K7" s="8" t="s">
        <v>578</v>
      </c>
      <c r="L7" s="8" t="s">
        <v>578</v>
      </c>
      <c r="M7" s="8" t="s">
        <v>578</v>
      </c>
      <c r="N7" s="8" t="s">
        <v>578</v>
      </c>
      <c r="O7" s="8" t="s">
        <v>578</v>
      </c>
      <c r="P7" s="8" t="s">
        <v>578</v>
      </c>
    </row>
    <row r="8" ht="28" customHeight="1" spans="1:16">
      <c r="A8" s="3" t="s">
        <v>719</v>
      </c>
      <c r="B8" s="5" t="s">
        <v>720</v>
      </c>
      <c r="C8" s="7" t="s">
        <v>684</v>
      </c>
      <c r="D8" s="6" t="s">
        <v>721</v>
      </c>
      <c r="E8" s="6" t="s">
        <v>622</v>
      </c>
      <c r="F8" s="5" t="s">
        <v>722</v>
      </c>
      <c r="G8" s="4" t="s">
        <v>566</v>
      </c>
      <c r="H8" s="5" t="s">
        <v>573</v>
      </c>
      <c r="I8" s="8" t="s">
        <v>578</v>
      </c>
      <c r="J8" s="8" t="s">
        <v>578</v>
      </c>
      <c r="K8" s="8" t="s">
        <v>578</v>
      </c>
      <c r="L8" s="8" t="s">
        <v>578</v>
      </c>
      <c r="M8" s="8" t="s">
        <v>578</v>
      </c>
      <c r="N8" s="8" t="s">
        <v>578</v>
      </c>
      <c r="O8" s="8" t="s">
        <v>578</v>
      </c>
      <c r="P8" s="8" t="s">
        <v>578</v>
      </c>
    </row>
    <row r="9" ht="28" customHeight="1" spans="1:16">
      <c r="A9" s="3" t="s">
        <v>723</v>
      </c>
      <c r="B9" s="6" t="s">
        <v>724</v>
      </c>
      <c r="C9" s="6" t="s">
        <v>725</v>
      </c>
      <c r="D9" s="6" t="s">
        <v>726</v>
      </c>
      <c r="E9" s="6" t="s">
        <v>727</v>
      </c>
      <c r="F9" s="8" t="s">
        <v>578</v>
      </c>
      <c r="G9" s="6" t="s">
        <v>619</v>
      </c>
      <c r="H9" s="4" t="s">
        <v>566</v>
      </c>
      <c r="I9" s="8" t="s">
        <v>578</v>
      </c>
      <c r="J9" s="8" t="s">
        <v>578</v>
      </c>
      <c r="K9" s="8" t="s">
        <v>578</v>
      </c>
      <c r="L9" s="8" t="s">
        <v>578</v>
      </c>
      <c r="M9" s="8" t="s">
        <v>578</v>
      </c>
      <c r="N9" s="8" t="s">
        <v>578</v>
      </c>
      <c r="O9" s="8" t="s">
        <v>578</v>
      </c>
      <c r="P9" s="8" t="s">
        <v>578</v>
      </c>
    </row>
    <row r="10" ht="28" customHeight="1" spans="1:16">
      <c r="A10" s="3" t="s">
        <v>728</v>
      </c>
      <c r="B10" s="6" t="s">
        <v>729</v>
      </c>
      <c r="C10" s="6" t="s">
        <v>725</v>
      </c>
      <c r="D10" s="6" t="s">
        <v>730</v>
      </c>
      <c r="E10" s="6" t="s">
        <v>731</v>
      </c>
      <c r="F10" s="8" t="s">
        <v>578</v>
      </c>
      <c r="G10" s="8" t="s">
        <v>578</v>
      </c>
      <c r="H10" s="8" t="s">
        <v>578</v>
      </c>
      <c r="I10" s="4" t="s">
        <v>566</v>
      </c>
      <c r="J10" s="8" t="s">
        <v>578</v>
      </c>
      <c r="K10" s="8" t="s">
        <v>578</v>
      </c>
      <c r="L10" s="8" t="s">
        <v>578</v>
      </c>
      <c r="M10" s="8" t="s">
        <v>578</v>
      </c>
      <c r="N10" s="8" t="s">
        <v>578</v>
      </c>
      <c r="O10" s="8" t="s">
        <v>578</v>
      </c>
      <c r="P10" s="8" t="s">
        <v>578</v>
      </c>
    </row>
    <row r="11" ht="28" customHeight="1" spans="1:16">
      <c r="A11" s="3" t="s">
        <v>732</v>
      </c>
      <c r="B11" s="6" t="s">
        <v>733</v>
      </c>
      <c r="C11" s="8" t="s">
        <v>578</v>
      </c>
      <c r="D11" s="8" t="s">
        <v>578</v>
      </c>
      <c r="E11" s="8" t="s">
        <v>578</v>
      </c>
      <c r="F11" s="8" t="s">
        <v>578</v>
      </c>
      <c r="G11" s="8" t="s">
        <v>578</v>
      </c>
      <c r="H11" s="8" t="s">
        <v>578</v>
      </c>
      <c r="I11" s="8" t="s">
        <v>578</v>
      </c>
      <c r="J11" s="4" t="s">
        <v>566</v>
      </c>
      <c r="K11" s="8" t="s">
        <v>578</v>
      </c>
      <c r="L11" s="8" t="s">
        <v>578</v>
      </c>
      <c r="M11" s="8" t="s">
        <v>578</v>
      </c>
      <c r="N11" s="8" t="s">
        <v>578</v>
      </c>
      <c r="O11" s="8" t="s">
        <v>578</v>
      </c>
      <c r="P11" s="8" t="s">
        <v>578</v>
      </c>
    </row>
    <row r="12" ht="28" customHeight="1" spans="1:16">
      <c r="A12" s="3" t="s">
        <v>734</v>
      </c>
      <c r="B12" s="6" t="s">
        <v>735</v>
      </c>
      <c r="C12" s="6" t="s">
        <v>736</v>
      </c>
      <c r="D12" s="6" t="s">
        <v>737</v>
      </c>
      <c r="E12" s="7" t="s">
        <v>738</v>
      </c>
      <c r="F12" s="8" t="s">
        <v>578</v>
      </c>
      <c r="G12" s="8" t="s">
        <v>578</v>
      </c>
      <c r="H12" s="8" t="s">
        <v>578</v>
      </c>
      <c r="I12" s="8" t="s">
        <v>578</v>
      </c>
      <c r="J12" s="8" t="s">
        <v>578</v>
      </c>
      <c r="K12" s="4" t="s">
        <v>566</v>
      </c>
      <c r="L12" s="8" t="s">
        <v>578</v>
      </c>
      <c r="M12" s="8" t="s">
        <v>578</v>
      </c>
      <c r="N12" s="8" t="s">
        <v>578</v>
      </c>
      <c r="O12" s="8" t="s">
        <v>578</v>
      </c>
      <c r="P12" s="8" t="s">
        <v>578</v>
      </c>
    </row>
    <row r="13" ht="28" customHeight="1" spans="1:16">
      <c r="A13" s="3" t="s">
        <v>739</v>
      </c>
      <c r="B13" s="8" t="s">
        <v>578</v>
      </c>
      <c r="C13" s="8" t="s">
        <v>578</v>
      </c>
      <c r="D13" s="8" t="s">
        <v>578</v>
      </c>
      <c r="E13" s="8" t="s">
        <v>578</v>
      </c>
      <c r="F13" s="8" t="s">
        <v>578</v>
      </c>
      <c r="G13" s="8" t="s">
        <v>578</v>
      </c>
      <c r="H13" s="8" t="s">
        <v>578</v>
      </c>
      <c r="I13" s="8" t="s">
        <v>578</v>
      </c>
      <c r="J13" s="8" t="s">
        <v>578</v>
      </c>
      <c r="K13" s="8" t="s">
        <v>578</v>
      </c>
      <c r="L13" s="4" t="s">
        <v>566</v>
      </c>
      <c r="M13" s="8" t="s">
        <v>578</v>
      </c>
      <c r="N13" s="8" t="s">
        <v>578</v>
      </c>
      <c r="O13" s="8" t="s">
        <v>578</v>
      </c>
      <c r="P13" s="8" t="s">
        <v>578</v>
      </c>
    </row>
    <row r="14" ht="28" customHeight="1" spans="1:16">
      <c r="A14" s="3" t="s">
        <v>740</v>
      </c>
      <c r="B14" s="6" t="s">
        <v>741</v>
      </c>
      <c r="C14" s="6" t="s">
        <v>742</v>
      </c>
      <c r="D14" s="6" t="s">
        <v>743</v>
      </c>
      <c r="E14" s="6" t="s">
        <v>744</v>
      </c>
      <c r="F14" s="8" t="s">
        <v>578</v>
      </c>
      <c r="G14" s="8" t="s">
        <v>578</v>
      </c>
      <c r="H14" s="8" t="s">
        <v>578</v>
      </c>
      <c r="I14" s="8" t="s">
        <v>578</v>
      </c>
      <c r="J14" s="8" t="s">
        <v>578</v>
      </c>
      <c r="K14" s="8" t="s">
        <v>578</v>
      </c>
      <c r="L14" s="8" t="s">
        <v>578</v>
      </c>
      <c r="M14" s="4" t="s">
        <v>566</v>
      </c>
      <c r="N14" s="8" t="s">
        <v>578</v>
      </c>
      <c r="O14" s="8" t="s">
        <v>578</v>
      </c>
      <c r="P14" s="8" t="s">
        <v>578</v>
      </c>
    </row>
    <row r="15" ht="28" customHeight="1" spans="1:16">
      <c r="A15" s="3" t="s">
        <v>745</v>
      </c>
      <c r="B15" s="6" t="s">
        <v>746</v>
      </c>
      <c r="C15" s="6" t="s">
        <v>747</v>
      </c>
      <c r="D15" s="5" t="s">
        <v>748</v>
      </c>
      <c r="E15" s="7" t="s">
        <v>749</v>
      </c>
      <c r="F15" s="8" t="s">
        <v>578</v>
      </c>
      <c r="G15" s="8" t="s">
        <v>578</v>
      </c>
      <c r="H15" s="8" t="s">
        <v>578</v>
      </c>
      <c r="I15" s="8" t="s">
        <v>578</v>
      </c>
      <c r="J15" s="8" t="s">
        <v>578</v>
      </c>
      <c r="K15" s="8" t="s">
        <v>578</v>
      </c>
      <c r="L15" s="8" t="s">
        <v>578</v>
      </c>
      <c r="M15" s="8" t="s">
        <v>578</v>
      </c>
      <c r="N15" s="4" t="s">
        <v>566</v>
      </c>
      <c r="O15" s="8" t="s">
        <v>578</v>
      </c>
      <c r="P15" s="8" t="s">
        <v>578</v>
      </c>
    </row>
    <row r="16" ht="28" customHeight="1" spans="1:16">
      <c r="A16" s="3" t="s">
        <v>750</v>
      </c>
      <c r="B16" s="6" t="s">
        <v>751</v>
      </c>
      <c r="C16" s="6" t="s">
        <v>752</v>
      </c>
      <c r="D16" s="6" t="s">
        <v>753</v>
      </c>
      <c r="E16" s="7" t="s">
        <v>684</v>
      </c>
      <c r="F16" s="8" t="s">
        <v>578</v>
      </c>
      <c r="G16" s="8" t="s">
        <v>578</v>
      </c>
      <c r="H16" s="8" t="s">
        <v>578</v>
      </c>
      <c r="I16" s="8" t="s">
        <v>578</v>
      </c>
      <c r="J16" s="8" t="s">
        <v>578</v>
      </c>
      <c r="K16" s="8" t="s">
        <v>578</v>
      </c>
      <c r="L16" s="8" t="s">
        <v>578</v>
      </c>
      <c r="M16" s="8" t="s">
        <v>578</v>
      </c>
      <c r="N16" s="8" t="s">
        <v>578</v>
      </c>
      <c r="O16" s="4" t="s">
        <v>566</v>
      </c>
      <c r="P16" s="8" t="s">
        <v>578</v>
      </c>
    </row>
    <row r="17" ht="28" customHeight="1" spans="1:16">
      <c r="A17" s="3" t="s">
        <v>754</v>
      </c>
      <c r="B17" s="6" t="s">
        <v>755</v>
      </c>
      <c r="C17" s="6" t="s">
        <v>756</v>
      </c>
      <c r="D17" s="6" t="s">
        <v>757</v>
      </c>
      <c r="E17" s="6" t="s">
        <v>744</v>
      </c>
      <c r="F17" s="8" t="s">
        <v>578</v>
      </c>
      <c r="G17" s="8" t="s">
        <v>578</v>
      </c>
      <c r="H17" s="8" t="s">
        <v>578</v>
      </c>
      <c r="I17" s="8" t="s">
        <v>578</v>
      </c>
      <c r="J17" s="8" t="s">
        <v>578</v>
      </c>
      <c r="K17" s="8" t="s">
        <v>578</v>
      </c>
      <c r="L17" s="8" t="s">
        <v>578</v>
      </c>
      <c r="M17" s="8" t="s">
        <v>578</v>
      </c>
      <c r="N17" s="8" t="s">
        <v>578</v>
      </c>
      <c r="O17" s="8" t="s">
        <v>578</v>
      </c>
      <c r="P17" s="4" t="s">
        <v>566</v>
      </c>
    </row>
  </sheetData>
  <mergeCells count="1">
    <mergeCell ref="A1: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ATP Top 50 Raw Input</vt:lpstr>
      <vt:lpstr>WTA Top 50 Raw Input</vt:lpstr>
      <vt:lpstr>H2H Matrix - Men Top 20</vt:lpstr>
      <vt:lpstr>H2H Matrix - Women Top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SHORYA JAIN</cp:lastModifiedBy>
  <dcterms:created xsi:type="dcterms:W3CDTF">2026-03-23T05:53:00Z</dcterms:created>
  <dcterms:modified xsi:type="dcterms:W3CDTF">2026-04-24T01:20:03Z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3AA59B652FD44B71B62DCF2B5894FA53_12</vt:lpwstr>
  </property>
  <property fmtid="{D5CDD505-2E9C-101B-9397-08002B2CF9AE}" pid="3" name="KSOProductBuildVer">
    <vt:lpwstr>1033-12.2.0.23202</vt:lpwstr>
  </property>
</Properties>
</file>